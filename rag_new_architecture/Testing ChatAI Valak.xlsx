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4"/>
    <sheet state="visible" name="Note" sheetId="2" r:id="rId5"/>
  </sheets>
  <definedNames>
    <definedName hidden="1" localSheetId="0" name="_xlnm._FilterDatabase">Testing!$A$2:$J$1000</definedName>
  </definedNames>
  <calcPr/>
</workbook>
</file>

<file path=xl/sharedStrings.xml><?xml version="1.0" encoding="utf-8"?>
<sst xmlns="http://schemas.openxmlformats.org/spreadsheetml/2006/main" count="1447" uniqueCount="679">
  <si>
    <t>Testing ChatAI Valak</t>
  </si>
  <si>
    <t>No</t>
  </si>
  <si>
    <t>Tanggal</t>
  </si>
  <si>
    <t>Tipe</t>
  </si>
  <si>
    <t>Pertanyaan</t>
  </si>
  <si>
    <t>Kunci</t>
  </si>
  <si>
    <t>Status</t>
  </si>
  <si>
    <t>Test Susy</t>
  </si>
  <si>
    <t>Support</t>
  </si>
  <si>
    <t>Nomor</t>
  </si>
  <si>
    <t>Insight</t>
  </si>
  <si>
    <t>Basic</t>
  </si>
  <si>
    <t>Apa itu PSAK 24?</t>
  </si>
  <si>
    <t>PSAK 24</t>
  </si>
  <si>
    <t>OK</t>
  </si>
  <si>
    <t>LEGAL</t>
  </si>
  <si>
    <t>No Note</t>
  </si>
  <si>
    <t>Apakah perusahaan wajib menghitung psak 24?</t>
  </si>
  <si>
    <t>Apa perbedaan PSAK 24 dan SAK ETAP?</t>
  </si>
  <si>
    <t>PSAK 24, SAKETAP</t>
  </si>
  <si>
    <t>Apakah boleh menghitung PSAK 24 tidak menggunakan KKA?</t>
  </si>
  <si>
    <t>Mulai kapan perusahaan harus menghitung imbalan pasca kerja?</t>
  </si>
  <si>
    <t>IPK</t>
  </si>
  <si>
    <t>Combine</t>
  </si>
  <si>
    <t>TEKNIS</t>
  </si>
  <si>
    <t>Anchor Answer ke Support</t>
  </si>
  <si>
    <t>Perusahaan saya hanya memiliki 2 karyawan, apakah tetap harus menghitung psak 24?</t>
  </si>
  <si>
    <t>Bagaimana jika perusahaan tidak menghitung imbalan pasca kerja?</t>
  </si>
  <si>
    <t>data apa saja yang dibutuhkan untuk melakukan perhitungan imbalan pasca kerja</t>
  </si>
  <si>
    <t>Untuk alasan confidential, apakah nama/nik dapat menggunakan data dummy</t>
  </si>
  <si>
    <t>Apa yang dimaksud dengan imbalan pasca kerja menurut PSAK 24?</t>
  </si>
  <si>
    <t>Apa perbedaan antara PSAK 24 dan perhitungan pesangon biasa menurut UU Cipta Kerja?</t>
  </si>
  <si>
    <t>PSAK 24, UU</t>
  </si>
  <si>
    <t>Apa saja jenis manfaat yang termasuk dalam imbalan pasca kerja</t>
  </si>
  <si>
    <t>Apakah perhitungan ini hanya untuk karyawan tetap, atau termasuk karyawan kontrak juga?</t>
  </si>
  <si>
    <t>Bagaimana PSAK 24 mengatur jika perusahaan memberikan manfaat tambahan selain ketentuan undang-undang?</t>
  </si>
  <si>
    <t>Technical</t>
  </si>
  <si>
    <t>Apa itu CSC?</t>
  </si>
  <si>
    <t>CSC</t>
  </si>
  <si>
    <t>kenapa nilai biaya jasa kini bertambah dari tahun sebelumnya, tetapi nilai kini kewajiban turun dari tahun sebelumnya?</t>
  </si>
  <si>
    <t>CSC, PVDBO</t>
  </si>
  <si>
    <t>32, 57</t>
  </si>
  <si>
    <t>Apa perbedaan sisa masa kerja dan sisa masa kerja yang diprakirakan?</t>
  </si>
  <si>
    <t>Sisa MK, dan sisa MKYD</t>
  </si>
  <si>
    <t>Apa itu rata-rata durasi tertimbang?</t>
  </si>
  <si>
    <t>Durasi tertimbang</t>
  </si>
  <si>
    <t>Apa diskon rate yang digunakan?</t>
  </si>
  <si>
    <t>Tingkat Diskonto</t>
  </si>
  <si>
    <t>42, 43</t>
  </si>
  <si>
    <t>Pada perhitungan, apakah menggunakan single rate atau multiple rate?</t>
  </si>
  <si>
    <t>Apa dampak dari diskon rate terhadap kewajiban?</t>
  </si>
  <si>
    <t>Apa itu biaya jasa lalu?</t>
  </si>
  <si>
    <t>Biaya Jasa Lalu</t>
  </si>
  <si>
    <t>Apa bedanya past service cost vested dan non vested?</t>
  </si>
  <si>
    <t>Apa saja komponen yang termasuk dalam benefit payment?</t>
  </si>
  <si>
    <t>Realisasi Pembayaran</t>
  </si>
  <si>
    <t>Ketika karyawan pensiun/meninggal/cacat/resign apakah diberikan pembayaran sesuai dengan kewajiban yang dicatat?</t>
  </si>
  <si>
    <t>Bagaimana jika yang dibayarkan lebih besar daripada nilai kewajiban karyawannya?</t>
  </si>
  <si>
    <t>Keadaan saat ini perusahaan tidak memberikan benefit apapun untuk karyawan yang keluar, apakah masih perlu menghitung imbalan pasca kerja?</t>
  </si>
  <si>
    <t>Iuran mana yang masuk dalam perhitungan imbalan pasca kerja?</t>
  </si>
  <si>
    <t>Iuran DPLK</t>
  </si>
  <si>
    <t>Apakah iuran DPLK yang dibayarkan oleh karyawan masuk dalam perhitungan?</t>
  </si>
  <si>
    <t>Combine Support dengan Note</t>
  </si>
  <si>
    <t>Apakah saldo DPLK/aset program yang dapat mengurangi kewajiban adalah total saldo akhir DPLK yang berasal dari saldo akhir porsi karyawan ditambah saldo akhir porsi perusahaan, atau hanya saldo akhir DPLK porsi perusahaan?</t>
  </si>
  <si>
    <t>Saldo DPLK</t>
  </si>
  <si>
    <t>Apa tingkat diskonto yang digunakan untuk menghitung hasil investasi DPLK dalam perhitungan imbalan pasca kerja?</t>
  </si>
  <si>
    <t>Apa itu ROI?</t>
  </si>
  <si>
    <t>ROI</t>
  </si>
  <si>
    <t>Bagaimana cara menentukan Tingkat kenaikan gaji?</t>
  </si>
  <si>
    <t>Tingkat kenaikan gaji</t>
  </si>
  <si>
    <t>Bagaimana cara menentukan tingkat pengunduran diri?</t>
  </si>
  <si>
    <t>Tingkat pengunduran diri</t>
  </si>
  <si>
    <t>Markdown</t>
  </si>
  <si>
    <t>STEP/tables/assumptions_reference</t>
  </si>
  <si>
    <t>Bagaimana jika terdapat kesalahan data pada perhitungan sebelumnya?</t>
  </si>
  <si>
    <t>Data</t>
  </si>
  <si>
    <t>Apa itu PBO?</t>
  </si>
  <si>
    <t>PVDBO</t>
  </si>
  <si>
    <t>Jika perusahaan melakukan PHK Masal, kewajiban sebelumnya dari PHK tersebut, diakui sebagai apa dalam tahun berjalan?</t>
  </si>
  <si>
    <t>PHK, Kurtailmen</t>
  </si>
  <si>
    <t>Kenapa biaya bunga naik?</t>
  </si>
  <si>
    <t>Biaya Bunga</t>
  </si>
  <si>
    <t>Apa dampak dari adanya perubahan tingkat mortalita?</t>
  </si>
  <si>
    <t>Tingkat mortalita</t>
  </si>
  <si>
    <t>Perubahan tingkat mortalita diakui sebagai apa dalam laporan?</t>
  </si>
  <si>
    <t>Jika terdapat karyawan pensiun/meninggal/cacat/resign perusahaan baru membayarkan setengah dari total yang seharusnya didapat karyawan, bagaimana perlakuannya dalam perhitungan imbalan pasca kerja?</t>
  </si>
  <si>
    <t>Bagaimana kategori yang dapat masuk dalam perhitungan otleb?</t>
  </si>
  <si>
    <t>OTLEB</t>
  </si>
  <si>
    <t>apakah perhitungan imbalan pasca kerja dan otleb berbeda?</t>
  </si>
  <si>
    <t>apakah perhitungan imbalan pasca kerja dan otleb sama?</t>
  </si>
  <si>
    <t>Apakah perusahaan harus menyisihkan/menyimpan uang sebesar saldo kewajiban perhitungan imbalan pasca kerja?</t>
  </si>
  <si>
    <t>selain IBPA adakah sumber lain yang dapat dijadikan acuan tingkat diskonto dalam perhitungan imbalan pasca kerja?</t>
  </si>
  <si>
    <t>apakah pajak wajib diperhitungkan dalam perhitungan imbalan pasca kerja?</t>
  </si>
  <si>
    <t>PPh21</t>
  </si>
  <si>
    <t>Apakah mungkin nilai biaya jasa kini sama dengan nilai kini kewajiban?</t>
  </si>
  <si>
    <t>apakah mungkin nilai kini kewajiban lebih kecil dibanding biaya jasa kini?</t>
  </si>
  <si>
    <t>Jika karyawan A masuk pada awal tahun, lalu keluar di tengah tahun, dan kemudian masuk lagi di akhir tahun, bagaimana perlakuan untuk karyawan ini dalam perhitungan imbalan pasca kerja?</t>
  </si>
  <si>
    <t>Hire of Date</t>
  </si>
  <si>
    <t>apakah terdapat usia minimal untuk karyawan dalam perhitungan imbalan pasca kerja?</t>
  </si>
  <si>
    <t>Usia Karyawan</t>
  </si>
  <si>
    <t>berapa usia pensiun sesuai dengan undang-undang?</t>
  </si>
  <si>
    <t>Usia Pensiun</t>
  </si>
  <si>
    <t>apakah boleh menghitung imbalan pasca kerja untuk sebagian karyawan saja?</t>
  </si>
  <si>
    <t>jika karyawan menerima gaji yang berbeda-beda setiap bulannya, gaji mana yang dapat dijadikan acuan untuk perhitungan?</t>
  </si>
  <si>
    <t>Gaji</t>
  </si>
  <si>
    <t>komponen apa saja yang termasuk dalam Imbalan yang dibayarkan dalam perhitungan imbalan pasca kerja?</t>
  </si>
  <si>
    <t>apakah pembayaran atas PHK karena efisiensi atau penghentian sepihak masuk dalam kategori imbalan yang dibayarkan dalam perhitungan IPK?</t>
  </si>
  <si>
    <t>Realisasi PHK</t>
  </si>
  <si>
    <t>bagaimana cara menentukan disability rate?</t>
  </si>
  <si>
    <t>Disability rate</t>
  </si>
  <si>
    <t>bagaimana cara menentukan usia pada saat tanggal valuasi, apakah menggunakan metode nearest birthday, atau metode lain?</t>
  </si>
  <si>
    <t>apa itu multiple decrement?</t>
  </si>
  <si>
    <t>Rate</t>
  </si>
  <si>
    <t>apakah dalam perhitungan IPK menggunakan multiple decrement?</t>
  </si>
  <si>
    <t>apa yang menyebabkan nilai dari biaya jasa kini, naik dari tahun sebelumnya?</t>
  </si>
  <si>
    <t>Biaya Jasa Kini</t>
  </si>
  <si>
    <t xml:space="preserve">No Note
1. Penjelasan yang Jelas dan Terstruktur
Biaya jasa (service cost) adalah komponen utama dalam perhitungan kewajiban imbalan kerja, seperti pada program pensiun manfaat pasti atau imbalan pasca kerja lainnya. Biaya jasa biasanya mencerminkan nilai kini dari manfaat yang diperoleh karyawan selama periode berjalan.
Penyebab utama kenaikan biaya jasa dari tahun sebelumnya antara lain:
a. Pertumbuhan Gaji Karyawan
Jika asumsi kenaikan gaji (salary escalation) meningkat, maka manfaat yang dijanjikan di masa depan juga meningkat, sehingga biaya jasa tahun berjalan menjadi lebih tinggi.
b. Penambahan Jumlah Karyawan
Bertambahnya jumlah karyawan yang memenuhi syarat untuk program imbalan kerja akan meningkatkan total biaya jasa.
c. Perubahan Asumsi Aktuaria
Perubahan asumsi seperti tingkat diskonto, tingkat mortalitas, atau tingkat pengunduran diri dapat mempengaruhi nilai biaya jasa.
Misal: Penurunan tingkat diskonto akan meningkatkan nilai kini kewajiban, sehingga biaya jasa naik.
d. Perubahan Skema atau Manfaat
Jika perusahaan meningkatkan manfaat program (misal: menaikkan besaran pensiun), maka biaya jasa juga akan naik.
e. Pengalaman Aktual Berbeda dari Asumsi
Jika realisasi data (misal: kenaikan gaji aktual lebih tinggi dari asumsi) berbeda dari yang diasumsikan, biaya jasa tahun berikutnya bisa meningkat.
2. Contoh Praktis
Misalkan sebuah perusahaan tahun lalu memiliki 100 karyawan dengan rata-rata gaji Rp10 juta/bulan dan asumsi kenaikan gaji 5% per tahun. Tahun ini, jumlah karyawan naik menjadi 110 dan perusahaan menaikkan asumsi kenaikan gaji menjadi 7%. Maka, biaya jasa tahun ini akan naik karena:
Lebih banyak karyawan,
Gaji yang lebih tinggi,
Asumsi kenaikan gaji yang lebih besar.
3. Referensi ke Standar Aktuaria yang Berlaku
PSAK 24 (Indonesia) / IAS 19 (Internasional): Standar ini mengatur pengakuan dan pengukuran imbalan kerja, termasuk biaya jasa. Penjelasan tentang biaya jasa dan faktor-faktor yang mempengaruhinya dapat ditemukan di PSAK 24 paragraf 54-57.
ISAK 15: Untuk penjelasan lebih lanjut tentang perubahan asumsi dan dampaknya terhadap biaya jasa.
Standar Aktuaria Indonesia (SAI): SAI 16 tentang Penilaian Kewajiban Imbalan Kerja.
4. Saran Implementasi
Review Asumsi Secara Berkala: Lakukan evaluasi dan pembaruan asumsi aktuaria secara rutin agar estimasi biaya jasa tetap akurat.
Analisis Sensitivitas: Lakukan analisis sensitivitas untuk memahami dampak perubahan asumsi terhadap biaya jasa.
Komunikasi dengan Manajemen: Sampaikan kepada manajemen faktor-faktor yang menyebabkan kenaikan biaya jasa agar dapat diantisipasi dalam perencanaan keuangan perusahaan.
Kesimpulan:
Kenaikan biaya jasa dari tahun sebelumnya umumnya disebabkan oleh perubahan asumsi aktuaria, pertumbuhan gaji, penambahan karyawan, perubahan manfaat, atau perbedaan pengalaman aktual. Penting untuk melakukan review dan analisis secara berkala sesuai standar aktuaria yang berlaku.
</t>
  </si>
  <si>
    <t>apa saja komponen dari biaya jasa lalu?</t>
  </si>
  <si>
    <t>No Note
1. Penjelasan yang Jelas dan Terstruktur
Apa itu Biaya Jasa Lalu?
Biaya jasa lalu (past service cost) adalah kenaikan (atau penurunan) nilai kini kewajiban imbalan pasti yang timbul akibat perubahan manfaat program imbalan kerja yang berlaku surut terhadap masa kerja sebelumnya. Dengan kata lain, biaya jasa lalu muncul ketika perusahaan mengubah ketentuan program imbalan kerja (misal: menaikkan manfaat pensiun), dan perubahan tersebut berlaku untuk masa kerja yang telah berlalu.
Komponen Biaya Jasa Lalu
Secara umum, biaya jasa lalu terdiri dari dua komponen utama:
a. Biaya Jasa Lalu yang Sudah Menjadi Hak (Vested Past Service Cost)
Merupakan bagian dari biaya jasa lalu yang manfaatnya langsung menjadi hak karyawan pada saat perubahan program dilakukan.
Contoh: Jika perubahan manfaat berlaku untuk seluruh masa kerja sebelumnya dan seluruh karyawan sudah memenuhi syarat untuk mendapatkan manfaat tersebut, maka seluruh biaya jasa lalu menjadi vested.
b. Biaya Jasa Lalu yang Belum Menjadi Hak (Non-vested Past Service Cost)
Merupakan bagian dari biaya jasa lalu yang manfaatnya belum langsung menjadi hak karyawan, biasanya karena masih ada masa kerja yang harus dipenuhi (vesting period).
Biaya jasa lalu ini akan diakui secara proporsional selama periode vesting.
2. Contoh Praktis
Misalkan sebuah perusahaan meningkatkan manfaat pensiun dari 2% menjadi 2,5% dari gaji per tahun masa kerja, berlaku surut untuk seluruh masa kerja karyawan.
Karyawan A sudah bekerja 20 tahun dan sudah vested penuh. Seluruh kenaikan manfaat untuk 20 tahun masa kerja menjadi biaya jasa lalu yang sudah vested.
Karyawan B baru bekerja 3 tahun dan belum vested (misal, vesting period 5 tahun). Kenaikan manfaat untuk 3 tahun masa kerja menjadi biaya jasa lalu yang belum vested, dan akan diakui secara proporsional selama 2 tahun ke depan.
3. Referensi ke Standar Aktuaria yang Berlaku
PSAK 24 (paragraf 103-109): Menjelaskan pengakuan dan pengukuran biaya jasa lalu, termasuk perbedaan antara vested dan non-vested past service cost.
IAS 19 (paragraf 102-109): Standar internasional yang mengatur perlakuan biaya jasa lalu.
Standar Aktuaria Indonesia (SAI) 16: Mengatur penilaian kewajiban imbalan kerja, termasuk perubahan manfaat program.
4. Saran Implementasi
Identifikasi Perubahan Manfaat: Setiap perubahan manfaat program harus dianalisis dampaknya terhadap masa kerja sebelumnya.
Pisahkan Vested dan Non-vested: Hitung secara terpisah biaya jasa lalu yang sudah vested dan yang belum vested.
Pengakuan Akuntansi: Sesuai PSAK 24, biaya jasa lalu yang sudah vested diakui langsung dalam laba rugi, sedangkan yang belum vested diakui secara proporsional selama periode vesting.
Dokumentasi dan Komunikasi: Pastikan dokumentasi perubahan manfaat dan perhitungannya jelas, serta komunikasikan kepada pihak terkait (manajemen, auditor, dsb).
Kesimpulan
Komponen biaya jasa lalu terdiri dari:
Biaya jasa lalu yang sudah menjadi hak (vested)
Biaya jasa lalu yang belum menjadi hak (non-vested)
Keduanya timbul akibat perubahan manfaat program yang berlaku surut terhadap masa kerja sebelumnya, dan perlakuan akuntansinya mengikuti standar PSAK 24/IAS 19.</t>
  </si>
  <si>
    <t>biaya jasa lalu vested dapat disebabkan oleh apa saja?</t>
  </si>
  <si>
    <t>17, 37</t>
  </si>
  <si>
    <t>apa saja yang dapat menyebabkan nilai biaya jasa lalu naik?</t>
  </si>
  <si>
    <t>jika terdapat dugaan bahwa nilai kewajiban sebelumnya underreserve, apakah harus melakukan penghitungan ulang untuk tahun sebelumnya?</t>
  </si>
  <si>
    <t>No Note
1. Penjelasan yang Jelas dan Terstruktur
Apa itu Underreserve?
Underreserve terjadi ketika nilai kewajiban imbalan kerja yang dicatat dalam laporan keuangan lebih rendah dari nilai sebenarnya yang seharusnya diakui berdasarkan asumsi dan data yang tepat. Hal ini dapat disebabkan oleh kesalahan perhitungan, penggunaan asumsi yang tidak tepat, atau data karyawan yang tidak lengkap.
Apakah Harus Melakukan Penghitungan Ulang untuk Tahun Sebelumnya?
a. Prinsip Akuntansi dan Standar Aktuaria
PSAK 24/IAS 19 mengatur bahwa estimasi kewajiban imbalan kerja harus didasarkan pada data dan asumsi terbaik pada tanggal pelaporan.
Jika ditemukan adanya kesalahan material pada periode sebelumnya (misal: underreserve yang signifikan), maka sesuai PSAK 25 (Koreksi atas Kesalahan), perusahaan wajib melakukan restatement (penyajian kembali) laporan keuangan tahun sebelumnya.
b. Kapan Penghitungan Ulang Diperlukan?
Jika underreserve disebabkan oleh kesalahan perhitungan, data, atau penerapan asumsi yang keliru (bukan perubahan asumsi atau pengalaman aktual), maka penghitungan ulang untuk tahun sebelumnya wajib dilakukan.
Jika underreserve hanya akibat perubahan asumsi atau pengalaman aktual yang baru diketahui di tahun berjalan, maka dampaknya diakui di tahun berjalan sebagai keuntungan/kerugian aktuaria, tidak perlu restatement.
c. Langkah Praktis
Identifikasi Sumber Underreserve: Apakah karena kesalahan perhitungan, data, atau perubahan asumsi?
Evaluasi Materialitas: Apakah dampaknya material terhadap laporan keuangan?
Lakukan Penghitungan Ulang: Jika material dan akibat kesalahan, lakukan penghitungan ulang untuk tahun sebelumnya.
Restatement Laporan Keuangan: Jika perlu, lakukan restatement sesuai PSAK 25.
Komunikasi dengan Auditor: Diskusikan temuan dan langkah koreksi dengan auditor eksternal.
2. Contoh Praktis
Contoh 1:
Pada tahun 2022, perusahaan menggunakan data karyawan yang tidak lengkap sehingga kewajiban imbalan kerja dilaporkan Rp10 miliar. Tahun 2023 ditemukan bahwa data yang benar seharusnya menghasilkan kewajiban Rp12 miliar.
Karena ini adalah kesalahan data (bukan perubahan asumsi), perusahaan harus melakukan penghitungan ulang untuk tahun 2022 dan melakukan restatement laporan keuangan.
Contoh 2:
Pada tahun 2022, asumsi mortalitas digunakan sesuai standar. Tahun 2023, data aktual menunjukkan mortalitas lebih rendah dari asumsi, sehingga kewajiban naik.
Karena ini adalah pengalaman aktual, tidak perlu penghitungan ulang tahun sebelumnya; dampaknya diakui sebagai keuntungan/kerugian aktuaria di tahun berjalan.
3. Referensi ke Standar Aktuaria yang Berlaku
PSAK 24: Imbalan Kerja (paragraf 54-57, 103-109): Pengakuan dan pengukuran kewajiban imbalan kerja.
PSAK 25: Koreksi atas Kesalahan: Mengatur perlakuan restatement jika terjadi kesalahan material pada periode sebelumnya.
IAS 19: Employee Benefits (paragraf 8, 99-109): Perlakuan perubahan asumsi dan koreksi kesalahan.
Standar Aktuaria Indonesia (SAI) 16: Penilaian kewajiban imbalan kerja.
4. Saran Implementasi
Lakukan Audit Internal Data dan Asumsi: Secara berkala audit data dan asumsi yang digunakan dalam perhitungan kewajiban imbalan kerja.
Dokumentasikan Proses Perhitungan: Simpan dokumentasi lengkap proses perhitungan dan asumsi yang digunakan.
Koordinasi dengan Auditor: Jika ditemukan underreserve, segera diskusikan dengan auditor untuk menentukan perlakuan akuntansi yang tepat.
Tingkatkan Pengendalian Internal: Pastikan proses pengumpulan data dan penetapan asumsi dilakukan secara ketat untuk meminimalkan risiko kesalahan di masa depan.
Kesimpulan
Jika terdapat dugaan bahwa nilai kewajiban sebelumnya underreserve akibat kesalahan perhitungan, data, atau penerapan asumsi, maka perusahaan harus melakukan penghitungan ulang untuk tahun sebelumnya dan melakukan restatement laporan keuangan sesuai PSAK 25.
Namun, jika underreserve hanya akibat perubahan asumsi atau pengalaman aktual, maka dampaknya diakui di tahun berjalan tanpa perlu restatement.</t>
  </si>
  <si>
    <t>apakah perhitungan karyawan tetap dan kontrak sama?</t>
  </si>
  <si>
    <t>Perhitungan Tetap dan Kontrak</t>
  </si>
  <si>
    <r>
      <rPr>
        <rFont val="Tahoma"/>
        <color theme="1"/>
        <sz val="10.0"/>
      </rPr>
      <t xml:space="preserve">No Note
1. Penjelasan Teoritis
Secara umum, perhitungan manfaat karyawan (seperti pesangon, imbalan pasca kerja, atau tunjangan pensiun) mengacu pada standar akuntansi dan aktuaria yang berlaku, seperti PSAK 24 (Indonesia) atau IAS 19 (internasional). Standar ini mengatur bagaimana perusahaan harus mengakui, mengukur, dan mengungkapkan imbalan kerja bagi karyawan.
Perbedaan utama antara karyawan tetap dan kontrak:
Karyawan Tetap: Biasanya memiliki hubungan kerja jangka panjang, dengan hak atas manfaat tertentu seperti pensiun, pesangon, dan tunjangan lainnya sesuai peraturan perusahaan dan undang-undang ketenagakerjaan.
Karyawan Kontrak: Umumnya dipekerjakan untuk jangka waktu tertentu (fixed term), dan hak atas manfaatnya bisa berbeda, tergantung pada kontrak kerja dan peraturan yang berlaku.
</t>
    </r>
    <r>
      <rPr>
        <rFont val="Tahoma"/>
        <color rgb="FFFF0000"/>
        <sz val="10.0"/>
      </rPr>
      <t>Apakah Perhitungannya Sama?
Tidak selalu sama.
Perhitungan manfaat untuk karyawan tetap dan kontrak bisa berbeda, tergantung pada:
Hak dan kewajiban yang diatur dalam kontrak kerja
Peraturan perundang-undangan yang berlaku (misal: UU Ketenagakerjaan di Indonesia)
Kebijakan perusahaan
Contoh Praktis:
Imbalan Pasca Kerja (PSAK 24):
Karyawan Tetap: Umumnya berhak atas imbalan pasca kerja (seperti pesangon, uang penghargaan masa kerja, dsb) sesuai masa kerja dan gaji terakhir.
Karyawan Kontrak: Jika kontrak berakhir sesuai masa kontrak, biasanya hanya mendapat kompensasi sesuai kontrak (misal: uang pengganti hak, sisa cuti, dsb), tidak selalu berhak atas pesangon kecuali diatur lain dalam kontrak atau undang-undang.
Perhitungan Aktuaria:
Karyawan Tetap: Dihitung dengan asumsi masa kerja hingga usia pensiun.
Karyawan Kontrak: Dihitung hanya sampai akhir masa kontrak, kecuali ada kemungkinan perpanjangan atau pengangkatan menjadi tetap.</t>
    </r>
    <r>
      <rPr>
        <rFont val="Tahoma"/>
        <color theme="1"/>
        <sz val="10.0"/>
      </rPr>
      <t xml:space="preserve">
2. Referensi Standar Aktuaria
PSAK 24 (Imbalan Kerja): Mengatur pengakuan dan pengukuran imbalan kerja, termasuk untuk karyawan tetap dan kontrak, sesuai hak dan kewajiban yang timbul dari perjanjian kerja.
ISAK 15: Menjelaskan perlakuan akuntansi untuk imbalan kerja pada kontrak jangka pendek.
UU Ketenagakerjaan No. 13 Tahun 2003 (Indonesia): Mengatur hak-hak karyawan tetap dan kontrak, termasuk hak atas pesangon dan kompensasi lainnya.
3. Saran Implementasi
Identifikasi Status Karyawan: Pastikan data karyawan sudah terklasifikasi dengan benar (tetap vs kontrak).
Tinjau Kontrak Kerja: Periksa hak dan kewajiban yang tercantum dalam kontrak masing-masing karyawan.
Ikuti Standar Akuntansi: Terapkan PSAK 24 atau standar yang relevan dalam perhitungan manfaat karyawan.
Konsultasi dengan HR dan Legal: Untuk memastikan interpretasi hak-hak karyawan sesuai regulasi terbaru.
4. Kesimpulan
Perhitungan manfaat karyawan tetap dan kontrak tidak selalu sama.
Perbedaan utamanya terletak pada hak dan masa kerja yang diakui, serta ketentuan dalam kontrak dan peraturan perundang-undangan. Aktuaris harus menyesuaikan perhitungan berdasarkan status karyawan dan hak yang melekat pada masing-masing status.</t>
    </r>
  </si>
  <si>
    <t>metode apa yang digunakan dalam menghitung imbalan pasca kerja?</t>
  </si>
  <si>
    <t>Metode</t>
  </si>
  <si>
    <t>Biaya Bunga didapat dari mana?</t>
  </si>
  <si>
    <t>Combine Support dengan Note
 1. Penjelasan yang Jelas dan Terstruktur
 Apa itu Biaya Bunga?
Biaya Bunga (Interest Cost) adalah komponen dalam perhitungan kewajiban aktuaria, khususnya pada pengukuran liabilitas imbalan pasca kerja seperti pensiun atau pesangon. Biaya bunga mencerminkan pertumbuhan kewajiban aktuaria akibat berlalunya waktu, dengan asumsi tingkat diskonto tertentu.
 Dari Mana Biaya Bunga Didapat?
Biaya bunga dihitung dengan mengalikan saldo kewajiban imbalan pasti (misal: Present Value of Defined Benefit Obligation/PVDBO) pada awal periode dengan tingkat diskonto (discount rate) yang relevan.
Rumus Umum:
```
Biaya Bunga = PVDBO Awal Tahun x Tingkat Diskonto
```
- PVDBO: Nilai kini kewajiban imbalan pasti pada awal periode.
- Tingkat Diskonto: Biasanya diambil dari imbal hasil obligasi pemerintah atau korporasi berkualitas tinggi dengan jangka waktu yang sesuai dengan jatuh tempo kewajiban.
---
 2. Contoh Praktis
Misalkan:
- PVDBO per 1 Januari 2024: Rp1.000.000.000
- Tingkat diskonto: 7% per tahun
Maka:
```
Biaya Bunga tahun 2024 = Rp1.000.000.000 x 7% = Rp70.000.000
```
Rp70.000.000 inilah yang diakui sebagai biaya bunga pada laporan laba rugi tahun berjalan.
---
 3. Referensi ke Standar Aktuaria yang Berlaku
- PSAK 24 (Indonesia) / IAS 19 (Internasional):
  - Menyebutkan bahwa biaya bunga dihitung dengan menerapkan tingkat diskonto pada kewajiban imbalan pasti pada awal periode.
- PSAK 24 Paragraf 127:
  &gt; "Biaya bunga adalah perubahan nilai kini kewajiban imbalan pasti yang timbul selama periode karena berlalunya waktu."
- ISAK 15 dan Standar Aktuaria Indonesia (SAI):
  - Mengatur tata cara pengukuran dan pengakuan biaya bunga dalam laporan keuangan.
---
 4. Saran Implementasi
- Pastikan Data Awal Akurat: Gunakan nilai PVDBO yang telah dihitung secara aktuaria pada awal periode.
- Gunakan Tingkat Diskonto yang Tepat: Pilih tingkat diskonto sesuai standar (misal: imbal hasil obligasi pemerintah).
- Lakukan Perhitungan Secara Konsisten: Terapkan metode yang sama setiap periode untuk menjaga konsistensi pelaporan.
- Dokumentasikan Asumsi: Simpan dokumentasi terkait asumsi tingkat diskonto dan sumber data PVDBO.
---
 Kesimpulan
Biaya bunga didapat dari hasil perkalian antara saldo kewajiban imbalan pasti pada awal periode dengan tingkat diskonto yang berlaku. Ini adalah bagian penting dalam pengukuran biaya imbalan kerja dan wajib diungkapkan sesuai standar akuntansi dan aktuaria yang berlaku.
---
Referensi:
- PSAK 24: Imbalan Kerja
- IAS 19: Employee Benefits
- Standar Aktuaria Indonesia (SAI)
Jika Anda membutuhkan template perhitungan atau contoh laporan, silakan informasikan lebih lanjut.</t>
  </si>
  <si>
    <t>tingkat diskonto yang digunakan dalam perhitungan biaya bunga apakah menggunakan tingkat diskonto awal atau tingkat diskonto akhir?</t>
  </si>
  <si>
    <r>
      <rPr>
        <rFont val="Tahoma"/>
        <color theme="1"/>
        <sz val="10.0"/>
      </rPr>
      <t xml:space="preserve">Combine Support dengan Note
 1. Penjelasan yang Jelas dan Terstruktur
</t>
    </r>
    <r>
      <rPr>
        <rFont val="Tahoma"/>
        <color rgb="FFFF0000"/>
        <sz val="10.0"/>
      </rPr>
      <t xml:space="preserve"> Dasar Teori
Dalam perhitungan biaya bunga (interest cost) atas kewajiban imbalan pasti (misal: pensiun), tingkat diskonto yang digunakan adalah tingkat diskonto pada awal periode. Hal ini karena biaya bunga merepresentasikan pertumbuhan nilai kini kewajiban akibat berlalunya waktu selama satu periode, dengan asumsi tingkat diskonto tetap.
</t>
    </r>
    <r>
      <rPr>
        <rFont val="Tahoma"/>
        <color theme="1"/>
        <sz val="10.0"/>
      </rPr>
      <t xml:space="preserve">
 Alasan Penggunaan Tingkat Diskonto Awal
- Konsistensi: Biaya bunga dihitung atas saldo kewajiban pada awal periode, sehingga tingkat diskonto yang relevan adalah yang berlaku pada saat itu.
- Standar Akuntansi: PSAK 24 (dan IAS 19) secara eksplisit menyatakan bahwa biaya bunga dihitung dengan menerapkan tingkat diskonto pada nilai kini kewajiban pada awal periode pelaporan.
---
 2. Contoh Praktis
Misalkan:
- PVDBO per 1 Januari 2024: Rp1.000.000.000
- Tingkat diskonto per 1 Januari 2024: 7% per tahun
- Tingkat diskonto per 31 Desember 2024: 6,5% per tahun (misal terjadi perubahan di akhir tahun)
Perhitungan biaya bunga tahun 2024:
```
Biaya Bunga = PVDBO Awal Tahun x Tingkat Diskonto Awal Tahun
             = Rp1.000.000.000 x 7%
             = Rp70.000.000
```
Catatan: Walaupun tingkat diskonto berubah di akhir tahun, biaya bunga tetap menggunakan tingkat diskonto awal (7%).
---
 3. Referensi ke Standar Aktuaria yang Berlaku
- PSAK 24 Paragraf 127:
  &gt; "Biaya bunga adalah perubahan nilai kini kewajiban imbalan pasti yang timbul selama periode karena berlalunya waktu."
- IAS 19 Paragraf 123:
  &gt; "Interest cost is calculated by applying the discount rate to the net defined benefit liability (asset) at the beginning of the period."
- Standar Aktuaria Indonesia (SAI):
  - Mengacu pada prinsip yang sama, yaitu penggunaan tingkat diskonto pada awal periode untuk menghitung biaya bunga.
---
 4. Saran Implementasi
- Gunakan Tingkat Diskonto Awal: Selalu gunakan tingkat diskonto yang berlaku pada awal periode pelaporan untuk menghitung biaya bunga.
- Perbarui Tingkat Diskonto di Akhir Periode: Jika terjadi perubahan tingkat diskonto, gunakan tingkat baru untuk pengukuran kewajiban pada akhir periode, bukan untuk biaya bunga periode berjalan.
- Dokumentasi: Catat dengan jelas tingkat diskonto yang digunakan dan tanggal berlaku untuk keperluan audit dan pelaporan.
- Konsistensi: Terapkan metode ini secara konsisten setiap periode untuk menjaga integritas laporan keuangan.
---
 Kesimpulan
Tingkat diskonto yang digunakan dalam perhitungan biaya bunga adalah tingkat diskonto pada awal periode, bukan tingkat diskonto pada akhir periode. Hal ini sesuai dengan PSAK 24, IAS 19, dan praktik aktuaria internasional. Perubahan tingkat diskonto selama periode berjalan akan mempengaruhi pengukuran kewajiban pada akhir periode, namun tidak mempengaruhi perhitungan biaya bunga untuk periode tersebut.
---
Referensi:
- PSAK 24: Imbalan Kerja, Paragraf 127
- IAS 19: Employee Benefits, Paragraf 123
- Standar Aktuaria Indonesia (SAI)
Jika Anda memerlukan template perhitungan atau simulasi perubahan tingkat diskonto, silakan informasikan lebih lanjut.</t>
    </r>
  </si>
  <si>
    <t>apa yang dimaksud perubahan program manfaat dalam laporan IPK?</t>
  </si>
  <si>
    <t>Perubahan Program Manfaat</t>
  </si>
  <si>
    <t>No Note
 1. Penjelasan yang Jelas dan Terstruktur
 Apa itu Perubahan Program Manfaat?
Perubahan program manfaat (plan amendment) adalah setiap perubahan yang dilakukan perusahaan terhadap ketentuan program imbalan pasca kerja yang berlaku bagi karyawan. Perubahan ini dapat berupa:
- Peningkatan manfaat (improvement/enhancement): Misal, menaikkan besaran pensiun atau menambah komponen manfaat.
- Pengurangan manfaat (reduction): Misal, menurunkan besaran manfaat atau menghapus sebagian hak.
- Penghentian program (curtailment): Misal, menutup program pensiun sebelum waktunya.
Perubahan ini berdampak langsung pada kewajiban aktuaria (PVDBO) dan biaya imbalan kerja yang harus diakui perusahaan.
---
 Bagaimana Perubahan Program Manfaat Diakui dalam Laporan IPK?
Menurut standar akuntansi dan aktuaria (PSAK 24/IAS 19):
- Dampak perubahan program manfaat diukur sebagai perubahan nilai kini kewajiban imbalan pasti (PVDBO) akibat perubahan tersebut.
- Keuntungan atau kerugian yang timbul dari perubahan program manfaat diakui langsung dalam laba rugi pada periode terjadinya perubahan (bukan diamortisasi).
- Tidak mempengaruhi biaya bunga atau biaya jasa kini, tetapi dicatat terpisah sebagai "biaya jasa lalu" (past service cost).
---
 2. Contoh Praktis
Contoh 1: Peningkatan Manfaat
- Perusahaan menaikkan manfaat pensiun dari 2% menjadi 2,5% dari gaji per tahun masa kerja.
- Akibatnya, nilai kini kewajiban (PVDBO) meningkat.
- Selisih kenaikan PVDBO ini diakui sebagai "biaya jasa lalu" (past service cost) dalam laba rugi tahun berjalan.
Contoh 2: Pengurangan Manfaat
- Perusahaan mengurangi manfaat pesangon.
- PVDBO turun, dan penurunan ini diakui sebagai keuntungan jasa lalu (negative past service cost) dalam laba rugi.
---
 3. Referensi ke Standar Aktuaria yang Berlaku
- PSAK 24 Paragraf 103-105:
  &gt; "Perusahaan harus mengakui biaya jasa lalu sebagai beban pada periode terjadinya perubahan program manfaat."
- IAS 19 Paragraf 102-105:
  &gt; "Past service cost is recognized in profit or loss at the earlier of when a plan amendment or curtailment occurs."
- Standar Aktuaria Indonesia (SAI):
  - Mengatur bahwa perubahan program manfaat harus dihitung dampaknya secara aktuaria dan diakui sesuai standar akuntansi.
---
 4. Saran Implementasi
- Identifikasi Perubahan Program: Catat setiap perubahan kebijakan atau ketentuan program manfaat secara jelas.
- Konsultasi dengan Aktuaris: Hitung dampak perubahan secara aktuaria untuk memastikan akurasi pengakuan dalam laporan keuangan.
- Pengakuan Segera: Akui dampak perubahan program manfaat (biaya jasa lalu) langsung dalam laba rugi pada periode terjadinya perubahan.
- Dokumentasi: Simpan dokumentasi perubahan, perhitungan dampak, dan justifikasi akuntansi untuk keperluan audit.
---
 Kesimpulan
Perubahan program manfaat adalah setiap perubahan dalam ketentuan program imbalan pasca kerja yang berdampak pada kewajiban perusahaan. Dampak perubahan ini diukur secara aktuaria dan diakui langsung dalam laba rugi sebagai "biaya jasa lalu" pada periode terjadinya perubahan, sesuai dengan PSAK 24/IAS 19 dan Standar Aktuaria Indonesia.
---
Referensi:
- PSAK 24: Imbalan Kerja, Paragraf 103-105
- IAS 19: Employee Benefits, Paragraf 102-105
- Standar Aktuaria Indonesia (SAI)
Jika Anda membutuhkan contoh perhitungan atau template pelaporan, silakan informasikan lebih lanjut.</t>
  </si>
  <si>
    <t>apa itu kurtailment dan penyelesaian dalam IPK?</t>
  </si>
  <si>
    <t>Kurtailmen</t>
  </si>
  <si>
    <t>No Note
 1. Penjelasan yang Jelas dan Terstruktur
 A. Kurtailment (Curtailment)
Definisi:
Kurtailment adalah suatu peristiwa yang secara signifikan mengurangi hak imbalan masa depan karyawan dalam program imbalan pasti, atau mengurangi jumlah karyawan yang berpartisipasi dalam program tersebut. Kurtailment biasanya terjadi akibat restrukturisasi, penutupan pabrik, atau penghentian sebagian program.
Contoh Peristiwa Kurtailment:
- Penutupan divisi atau pabrik sehingga sejumlah besar karyawan diberhentikan sebelum usia pensiun.
- Penghentian program pensiun untuk sebagian kelompok karyawan.
- Perubahan program yang mengurangi manfaat masa depan secara signifikan.
Dampak Kurtailment:
- Mengurangi nilai kini kewajiban imbalan pasti (PVDBO).
- Keuntungan atau kerugian akibat kurtailment diakui langsung dalam laba rugi pada periode terjadinya kurtailment.
- Dapat juga memicu pengakuan biaya jasa lalu (past service cost) jika ada perubahan manfaat terkait.
---
 B. Penyelesaian (Settlement)
Definisi:
Penyelesaian adalah transaksi yang menghilangkan seluruh atau sebagian kewajiban program imbalan pasti, selain pembayaran manfaat secara rutin kepada peserta. Penyelesaian biasanya berupa pembayaran sekaligus (lump sum) kepada peserta atau pihak ketiga (misal: asuransi), sehingga perusahaan tidak lagi memiliki kewajiban atas manfaat tersebut.
Contoh Peristiwa Penyelesaian:
- Pembayaran sekaligus seluruh manfaat pensiun kepada peserta yang keluar.
- Pembelian anuitas dari perusahaan asuransi untuk membayar manfaat pensiun peserta.
- Transfer kewajiban program ke pihak ketiga.
Dampak Penyelesaian:
- Selisih antara nilai tercatat kewajiban yang diselesaikan dan pembayaran aktual diakui sebagai keuntungan atau kerugian penyelesaian dalam laba rugi pada periode terjadinya penyelesaian.
- Setelah penyelesaian, perusahaan tidak lagi memiliki kewajiban atas manfaat yang telah diselesaikan.
---
 2. Contoh Praktis
 Contoh Kurtailment:
Sebuah perusahaan menutup satu pabrik dan memberhentikan 500 karyawan. Hak pensiun masa depan mereka dihentikan. Nilai kini kewajiban (PVDBO) turun dari Rp10 miliar menjadi Rp8 miliar. Selisih Rp2 miliar diakui sebagai keuntungan kurtailment dalam laba rugi.
 Contoh Penyelesaian:
Perusahaan menawarkan pembayaran sekaligus (lump sum) kepada 200 pensiunan, dengan total pembayaran Rp3 miliar untuk menyelesaikan kewajiban pensiun mereka. Jika nilai tercatat kewajiban yang diselesaikan adalah Rp2,8 miliar, maka selisih Rp0,2 miliar diakui sebagai kerugian penyelesaian.
---
 3. Referensi ke Standar Aktuaria yang Berlaku
- PSAK 24 Paragraf 106-110:
  - Kurtailment dan penyelesaian harus diakui segera dalam laba rugi pada periode terjadinya.
- IAS 19 Paragraf 109-112:
  - Menjelaskan pengakuan dan pengukuran keuntungan/kerugian akibat kurtailment dan settlement.
- Standar Aktuaria Indonesia (SAI):
  - Mengatur tata cara pengukuran dampak kurtailment dan settlement secara aktuaria.
---
 4. Saran Implementasi
- Identifikasi Peristiwa: Catat dan dokumentasikan setiap peristiwa yang dapat dikategorikan sebagai kurtailment atau settlement.
- Konsultasi dengan Aktuaris: Hitung dampak secara aktuaria untuk memastikan akurasi pengakuan dalam laporan keuangan.
- Pengakuan Segera: Akui keuntungan atau kerugian akibat kurtailment/settlement langsung dalam laba rugi pada periode terjadinya.
- Dokumentasi Lengkap: Simpan dokumentasi perhitungan, asumsi, dan justifikasi akuntansi untuk keperluan audit.
---
 Kesimpulan
- Kurtailment adalah pengurangan signifikan atas hak manfaat masa depan atau jumlah peserta program, yang mengurangi kewajiban perusahaan secara langsung.
- Penyelesaian adalah transaksi yang menghapus seluruh atau sebagian kewajiban program, biasanya melalui pembayaran sekaligus atau transfer ke pihak ketiga.
- Kedua peristiwa ini harus diakui dampaknya secara langsung dalam laba rugi pada periode terjadinya, sesuai PSAK 24/IAS 19 dan Standar Aktuaria Indonesia.
---
Referensi:
- PSAK 24: Imbalan Kerja, Paragraf 106-110
- IAS 19: Employee Benefits, Paragraf 109-112
- Standar Aktuaria Indonesia (SAI)
Jika Anda membutuhkan contoh perhitungan atau template pelaporan, silakan informasikan lebih lanjut.</t>
  </si>
  <si>
    <t>PVDBO Ekspektasi adalah</t>
  </si>
  <si>
    <t>11, 39</t>
  </si>
  <si>
    <t>Combine Support dengan Note
 1. Penjelasan yang Jelas dan Terstruktur
 Apa itu PVDBO Ekspektasi?
PVDBO adalah singkatan dari Present Value of Defined Benefit Obligation, yaitu nilai kini kewajiban imbalan pasti. PVDBO menggambarkan estimasi nilai kini dari seluruh manfaat yang akan dibayarkan kepada peserta program imbalan pasti (misal: pensiun, pesangon), dihitung berdasarkan asumsi aktuaria (umur, masa kerja, tingkat keluar, kematian, kenaikan gaji, dsb) dan didiskontokan ke tanggal penilaian.
PVDBO Ekspektasi (Expected PVDBO) adalah nilai kini kewajiban imbalan pasti yang diharapkan pada akhir periode berjalan, dengan mempertimbangkan proyeksi kenaikan gaji, tambahan masa kerja selama periode berjalan, dan bunga atas kewajiban. PVDBO ekspektasi digunakan dalam rekonsiliasi pergerakan kewajiban imbalan pasti dari awal hingga akhir periode.
---
 Bagaimana PVDBO Ekspektasi Dihitung?
PVDBO Ekspektasi dihitung dengan rumus:
```
PVDBO Ekspektasi = PVDBO Awal Tahun
                  + Biaya Jasa Kini (Current Service Cost)
                  + Biaya Bunga (Interest Cost)
                  - Manfaat yang Dibayar (Benefit Paid)
```
- PVDBO Awal Tahun: Nilai kini kewajiban pada awal periode.
- Biaya Jasa Kini: Nilai kini manfaat tambahan akibat masa kerja selama periode berjalan.
- Biaya Bunga: Pertumbuhan kewajiban akibat berlalunya waktu (PVDBO Awal Tahun x Tingkat Diskonto Awal).
- Manfaat yang Dibayar: Manfaat yang benar-benar dibayarkan selama periode berjalan.
Catatan: PVDBO Ekspektasi belum memperhitungkan perubahan asumsi atau pengalaman aktual (gains/losses) selama periode berjalan.
---
 2. Contoh Praktis
Misalkan data berikut untuk tahun 2024:
- PVDBO per 1 Januari 2024: Rp1.000.000.000
- Biaya jasa kini 2024: Rp50.000.000
- Biaya bunga (diskonto 7%): Rp70.000.000
- Manfaat yang dibayar selama 2024: Rp30.000.000
Maka:
```
PVDBO Ekspektasi per 31 Desember 2024
= Rp1.000.000.000 + Rp50.000.000 + Rp70.000.000 - Rp30.000.000
= Rp1.090.000.000
```
Nilai ini adalah PVDBO yang diharapkan pada akhir tahun, sebelum memperhitungkan perubahan asumsi atau pengalaman aktual.
---
 3. Referensi ke Standar Aktuaria yang Berlaku
- PSAK 24 (Imbalan Kerja):
  - Mengatur rekonsiliasi pergerakan kewajiban imbalan pasti, termasuk komponen biaya jasa kini, biaya bunga, manfaat dibayar, dan perubahan asumsi.
- IAS 19 (Employee Benefits):
  - Paragraf 141-142 menjelaskan rekonsiliasi pergerakan DBO (Defined Benefit Obligation).
- Standar Aktuaria Indonesia (SAI):
  - Mengatur tata cara pengukuran dan pelaporan kewajiban imbalan pasti.
---
 4. Saran Implementasi
- Lakukan Rekonsiliasi Tahunan: Selalu lakukan rekonsiliasi pergerakan PVDBO dari awal hingga akhir periode untuk memastikan transparansi dan akurasi pelaporan.
- Pisahkan Komponen: Catat secara terpisah biaya jasa kini, biaya bunga, manfaat dibayar, dan perubahan asumsi untuk memudahkan analisis.
- Gunakan Asumsi yang Konsisten: Pastikan asumsi aktuaria yang digunakan konsisten dan terdokumentasi dengan baik.
- Konsultasi dengan Aktuaris: Untuk perhitungan yang kompleks, selalu libatkan aktuaris profesional.
---
 Kesimpulan
PVDBO Ekspektasi adalah nilai kini kewajiban imbalan pasti yang diharapkan pada akhir periode berjalan, dihitung berdasarkan saldo awal, biaya jasa kini, biaya bunga, dan dikurangi manfaat yang dibayar. PVDBO ekspektasi penting untuk rekonsiliasi pergerakan kewajiban dan analisis perubahan kewajiban imbalan pasti dalam laporan keuangan, sesuai dengan PSAK 24/IAS 19 dan Standar Aktuaria Indonesia.
---
Referensi:
- PSAK 24: Imbalan Kerja, Paragraf 141-142
- IAS 19: Employee Benefits, Paragraf 141-142
- Standar Aktuaria Indonesia (SAI)
Jika Anda membutuhkan template rekonsiliasi atau simulasi perhitungan, silakan informasikan lebih lanjut.</t>
  </si>
  <si>
    <t>actuarial gain loss adalah</t>
  </si>
  <si>
    <t>OCI</t>
  </si>
  <si>
    <t>PANDUAN/02e_laporan_keuangan</t>
  </si>
  <si>
    <t>Combine Support dengan Note
---
 1. Penjelasan yang Jelas dan Terstruktur
 Apa itu Actuarial Gain/Loss?
Actuarial gain/loss adalah selisih yang timbul akibat perbedaan antara:
- Asumsi aktuaria yang digunakan dalam perhitungan kewajiban imbalan pasti (misal: tingkat diskonto, kenaikan gaji, tingkat kematian, tingkat keluar, dsb), dan
- Pengalaman aktual yang terjadi selama periode berjalan, serta perubahan asumsi aktuaria yang digunakan untuk menghitung kewajiban pada akhir periode.
Dengan kata lain, actuarial gain/loss mencerminkan dampak dari:
- Perubahan asumsi aktuaria (misal: perubahan tingkat diskonto, perubahan proyeksi kenaikan gaji, dsb).
- Perbedaan antara asumsi dengan realisasi (misal: jumlah karyawan keluar lebih sedikit dari yang diasumsikan, kenaikan gaji aktual lebih tinggi/rendah dari asumsi, dsb).
 Bagaimana Actuarial Gain/Loss Terjadi?
Actuarial gain/loss dapat terjadi karena dua hal utama:
1. Perubahan Asumsi Aktuaria: Misal, tingkat diskonto yang digunakan naik/turun, proyeksi kenaikan gaji diubah, dsb.
2. Experience Adjustment (Penyesuaian Pengalaman): Realisasi data aktual berbeda dari asumsi (misal, lebih banyak karyawan pensiun dini dari yang diperkirakan).
---
 2. Contoh Praktis
 Contoh 1: Perubahan Asumsi
- Awalnya, tingkat diskonto yang digunakan 7%. Pada akhir tahun, tingkat diskonto berubah menjadi 6%. Penurunan tingkat diskonto akan meningkatkan nilai kini kewajiban (PVDBO), sehingga timbul actuarial loss.
 Contoh 2: Experience Adjustment
- Diasumsikan 10 karyawan akan pensiun tahun ini, ternyata hanya 5 yang pensiun. Karena manfaat yang dibayarkan lebih sedikit dari yang diasumsikan, timbul actuarial gain.
 Perhitungan dalam Rekonsiliasi PVDBO
Dalam rekonsiliasi pergerakan PVDBO, actuarial gain/loss dihitung sebagai selisih antara:
```
PVDBO Aktual Akhir Tahun
MINUS
PVDBO Ekspektasi Akhir Tahun
```
Jika PVDBO aktual lebih tinggi dari ekspektasi → actuarial loss.  
Jika PVDBO aktual lebih rendah dari ekspektasi → actuarial gain.
---
 3. Referensi ke Standar Aktuaria yang Berlaku
- PSAK 24 (Imbalan Kerja), Paragraf 141-142:
  &gt; "Keuntungan dan kerugian aktuaria adalah perubahan dalam nilai kini kewajiban imbalan pasti yang timbul karena penyesuaian pengalaman dan perubahan asumsi aktuaria."
- IAS 19 (Employee Benefits), Paragraf 128-130:
  &gt; "Actuarial gains and losses arise from differences between previous actuarial assumptions and what has actually occurred and from the effects of changes in actuarial assumptions."
- Standar Aktuaria Indonesia (SAI):
  - Mengatur tata cara pengukuran, pelaporan, dan pengungkapan actuarial gain/loss.
---
 4. Saran Implementasi
- Pisahkan Komponen: Dalam laporan rekonsiliasi, pisahkan actuarial gain/loss dari komponen lain seperti biaya jasa kini, biaya bunga, dan manfaat dibayar.
- Pengakuan di OCI: Sesuai PSAK 24/IAS 19, actuarial gain/loss diakui langsung di penghasilan komprehensif lain (OCI), bukan di laba rugi.
- Dokumentasi Asumsi: Catat dan dokumentasikan semua asumsi aktuaria dan perubahan yang terjadi setiap periode.
- Analisis Penyebab: Lakukan analisis penyebab actuarial gain/loss untuk perbaikan asumsi di masa depan.
---
 Kesimpulan
Actuarial gain/loss adalah keuntungan atau kerugian yang timbul akibat perbedaan antara asumsi aktuaria dengan realisasi aktual, serta akibat perubahan asumsi aktuaria dalam perhitungan kewajiban imbalan pasti. Komponen ini penting untuk transparansi dan akurasi pelaporan keuangan, dan diakui langsung di penghasilan komprehensif lain (OCI) sesuai PSAK 24/IAS 19.
---
Referensi:
- PSAK 24: Imbalan Kerja, Paragraf 141-142
- IAS 19: Employee Benefits, Paragraf 128-130
- Standar Aktuaria Indonesia (SAI)
Jika Anda membutuhkan contoh perhitungan atau template rekonsiliasi, silakan informasikan lebih lanjut.</t>
  </si>
  <si>
    <t>actuarial gain loss dapat dibedakan menjadi apa saja?</t>
  </si>
  <si>
    <t>Combine Support dengan Note
---
 1. Penjelasan yang Jelas dan Terstruktur
 Apa itu Actuarial Gain/Loss?
Seperti dijelaskan sebelumnya, actuarial gain/loss adalah selisih yang timbul akibat perbedaan antara asumsi aktuaria (misal: tingkat diskonto, kenaikan gaji, mortalitas, turnover) dengan realisasi aktual, serta akibat perubahan asumsi aktuaria dalam perhitungan kewajiban imbalan pasti.
 Pembagian Actuarial Gain/Loss
Secara umum, actuarial gain/loss dapat dibedakan menjadi dua kategori utama:
 A. Gain/Loss Akibat Perubahan Asumsi Aktuaria
- Definisi: Keuntungan atau kerugian yang timbul karena perubahan asumsi aktuaria yang digunakan dalam perhitungan kewajiban pada akhir periode dibandingkan dengan asumsi pada awal periode.
- Contoh: Perubahan tingkat diskonto, perubahan proyeksi kenaikan gaji, perubahan asumsi mortalitas, dsb.
- Dampak: Jika asumsi baru menyebabkan kewajiban naik, terjadi actuarial loss; jika menurun, terjadi actuarial gain.
 B. Gain/Loss Akibat Penyesuaian Pengalaman (Experience Adjustment)
- Definisi: Keuntungan atau kerugian yang timbul karena perbedaan antara asumsi aktuaria dengan realisasi aktual selama periode berjalan.
- Contoh: Jumlah karyawan yang keluar lebih sedikit dari yang diasumsikan, kenaikan gaji aktual lebih tinggi/rendah dari asumsi, manfaat yang dibayar lebih kecil/besar dari proyeksi.
- Dampak: Jika realisasi lebih menguntungkan dari asumsi, terjadi actuarial gain; jika sebaliknya, terjadi actuarial loss.
---
 2. Contoh Praktis
 A. Perubahan Asumsi Aktuaria
- Awalnya tingkat diskonto 7%, di akhir tahun berubah menjadi 6%. Penurunan tingkat diskonto meningkatkan nilai kini kewajiban (PVDBO), sehingga timbul actuarial loss akibat perubahan asumsi.
 B. Penyesuaian Pengalaman
- Diasumsikan 10 karyawan pensiun tahun ini, ternyata hanya 5 yang pensiun. Karena manfaat yang dibayarkan lebih sedikit dari yang diasumsikan, timbul actuarial gain akibat penyesuaian pengalaman.
---
 3. Referensi ke Standar Aktuaria yang Berlaku
- PSAK 24 Paragraf 141-142:
  &gt; "Keuntungan dan kerugian aktuaria adalah perubahan dalam nilai kini kewajiban imbalan pasti yang timbul karena penyesuaian pengalaman dan perubahan asumsi aktuaria."
- IAS 19 Paragraf 128-130:
  &gt; "Actuarial gains and losses arise from differences between previous actuarial assumptions and what has actually occurred and from the effects of changes in actuarial assumptions."
- Standar Aktuaria Indonesia (SAI):
  - Mengatur bahwa actuarial gain/loss harus diidentifikasi berdasarkan sumbernya, yaitu perubahan asumsi dan penyesuaian pengalaman.
---
 4. Saran Implementasi
- Pisahkan dalam Laporan: Dalam rekonsiliasi kewajiban imbalan pasti, pisahkan actuarial gain/loss menjadi dua: akibat perubahan asumsi dan akibat penyesuaian pengalaman.
- Analisis Penyebab: Lakukan analisis penyebab actuarial gain/loss untuk meningkatkan akurasi asumsi di masa depan.
- Pengakuan di OCI: Sesuai PSAK 24/IAS 19, actuarial gain/loss diakui langsung di penghasilan komprehensif lain (OCI), bukan di laba rugi.
- Dokumentasi: Catat perubahan asumsi dan realisasi aktual secara rinci untuk keperluan audit dan evaluasi.
---
 Kesimpulan
Actuarial gain/loss dapat dibedakan menjadi dua jenis utama:
1. Akibat perubahan asumsi aktuaria (change in actuarial assumptions)
2. Akibat penyesuaian pengalaman (experience adjustment)
Pembagian ini penting untuk analisis, pelaporan, dan pengelolaan risiko program imbalan pasti, serta diwajibkan oleh standar akuntansi dan aktuaria yang berlaku.
---
Referensi:
- PSAK 24: Imbalan Kerja, Paragraf 141-142
- IAS 19: Employee Benefits, Paragraf 128-130
- Standar Aktuaria Indonesia (SAI)
Jika Anda membutuhkan contoh format pelaporan atau simulasi perhitungan, silakan informasikan lebih lanjut.</t>
  </si>
  <si>
    <t>(Keuntungan)/Kerugian Aktuarial pada Kewajiban adalah</t>
  </si>
  <si>
    <t>Combine Support dengan Note
---
 1. Penjelasan yang Jelas dan Terstruktur
 Definisi (Keuntungan)/Kerugian Aktuarial pada Kewajiban
(Keuntungan)/Kerugian Aktuarial pada Kewajiban (Actuarial Gain/Loss on Obligation) adalah perubahan dalam nilai kini kewajiban imbalan pasti (PVDBO/DBO) yang timbul akibat:
1. Penyesuaian pengalaman (experience adjustment):
   - Perbedaan antara asumsi aktuaria yang digunakan pada awal periode dengan realisasi aktual selama periode berjalan.
   - Contoh: Jumlah karyawan yang pensiun, keluar, atau meninggal lebih/kurang dari yang diasumsikan; kenaikan gaji aktual berbeda dari asumsi.
2. Perubahan asumsi aktuaria:
   - Perubahan asumsi yang digunakan untuk menghitung kewajiban pada akhir periode, misalnya tingkat diskonto, kenaikan gaji, mortalitas, dsb.
   - Contoh: Tingkat diskonto turun dari 7% ke 6%, sehingga nilai kini kewajiban meningkat.
Singkatnya:  
(Keuntungan)/Kerugian Aktuarial pada Kewajiban adalah selisih yang timbul karena perbedaan antara proyeksi (berdasarkan asumsi) dan realisasi aktual, serta akibat perubahan asumsi aktuaria.
---
 2. Contoh Praktis
 A. Penyesuaian Pengalaman
- Diasumsikan 10 karyawan pensiun tahun ini, ternyata hanya 5 yang pensiun.
- Karena manfaat yang dibayarkan lebih sedikit dari proyeksi, terjadi keuntungan aktuarial (actuarial gain).
 B. Perubahan Asumsi
- Awalnya tingkat diskonto 7%, di akhir tahun berubah menjadi 6%.
- Penurunan tingkat diskonto meningkatkan nilai kini kewajiban, sehingga terjadi kerugian aktuarial (actuarial loss).
 C. Cara Menghitung
Dalam rekonsiliasi PVDBO:
```
(Keuntungan)/Kerugian Aktuarial = PVDBO Aktual Akhir Tahun
                                 - PVDBO Ekspektasi Akhir Tahun
```
- Jika PVDBO aktual &gt; ekspektasi → kerugian aktuarial
- Jika PVDBO aktual &lt; ekspektasi → keuntungan aktuarial
---
 3. Referensi ke Standar Aktuaria yang Berlaku
- PSAK 24 Paragraf 141-142:
  &gt; "Keuntungan dan kerugian aktuaria adalah perubahan dalam nilai kini kewajiban imbalan pasti yang timbul karena penyesuaian pengalaman dan perubahan asumsi aktuaria."
- IAS 19 Paragraf 128-130:
  &gt; "Actuarial gains and losses arise from differences between previous actuarial assumptions and what has actually occurred and from the effects of changes in actuarial assumptions."
- Standar Aktuaria Indonesia (SAI):
  - Mengatur tata cara identifikasi, pengukuran, dan pelaporan actuarial gain/loss.
---
 4. Saran Implementasi
- Pisahkan Komponen: Dalam laporan keuangan, pisahkan (keuntungan)/kerugian aktuarial dari komponen biaya lain (biaya jasa kini, biaya bunga, dsb).
- Pengakuan di OCI: Sesuai PSAK 24/IAS 19, (keuntungan)/kerugian aktuarial pada kewajiban diakui langsung di penghasilan komprehensif lain (OCI), bukan di laba rugi.
- Analisis Penyebab: Lakukan analisis sumber (keuntungan)/kerugian aktuarial untuk meningkatkan akurasi asumsi di masa depan.
- Dokumentasi: Catat perubahan asumsi dan realisasi aktual secara rinci untuk keperluan audit dan evaluasi.
---
 Kesimpulan
(Keuntungan)/Kerugian Aktuarial pada Kewajiban adalah perubahan nilai kini kewajiban imbalan pasti yang timbul akibat:
- Penyesuaian pengalaman (perbedaan antara asumsi dan realisasi aktual), dan/atau
- Perubahan asumsi aktuaria.
Komponen ini penting untuk transparansi dan akurasi pelaporan keuangan, serta diakui langsung di penghasilan komprehensif lain (OCI) sesuai PSAK 24/IAS 19 dan Standar Aktuaria Indonesia.
---
Referensi:
- PSAK 24: Imbalan Kerja, Paragraf 141-142
- IAS 19: Employee Benefits, Paragraf 128-130
- Standar Aktuaria Indonesia (SAI)
Jika Anda membutuhkan contoh format pelaporan atau simulasi perhitungan, silakan informasikan lebih lanjut.</t>
  </si>
  <si>
    <t>(Keuntungan)/Kerugian Aktuarial pada Kewajiban terdiri dari</t>
  </si>
  <si>
    <t>Combine Support dengan Note
---
 1. Penjelasan yang Jelas dan Terstruktur
 Definisi Singkat
(Keuntungan)/Kerugian Aktuarial pada Kewajiban (Actuarial Gain/Loss on Obligation) adalah perubahan nilai kini kewajiban imbalan pasti (PVDBO/DBO) yang timbul karena:
- Penyesuaian pengalaman (experience adjustment)
- Perubahan asumsi aktuaria
 Komponen (Keuntungan)/Kerugian Aktuarial pada Kewajiban
Secara umum, (keuntungan)/kerugian aktuarial pada kewajiban terdiri dari dua komponen utama:
 A. Penyesuaian Pengalaman (Experience Adjustment)
- Definisi: Selisih yang timbul karena perbedaan antara asumsi aktuaria yang digunakan pada awal periode dengan realisasi aktual selama periode berjalan.
- Contoh: 
  - Jumlah karyawan yang pensiun, keluar, atau meninggal lebih/kurang dari yang diasumsikan.
  - Kenaikan gaji aktual berbeda dari asumsi.
- Dampak: Jika realisasi lebih menguntungkan dari asumsi (misal, lebih sedikit manfaat yang dibayar), terjadi keuntungan aktuarial. Jika sebaliknya, terjadi kerugian aktuarial.
 B. Perubahan Asumsi Aktuaria (Changes in Actuarial Assumptions)
- Definisi: Selisih yang timbul akibat perubahan asumsi aktuaria yang digunakan untuk menghitung kewajiban pada akhir periode dibandingkan dengan asumsi pada awal periode.
- Contoh: 
  - Perubahan tingkat diskonto, kenaikan gaji, mortalitas, tingkat keluar, dsb.
  - Misal, tingkat diskonto turun dari 7% ke 6%, sehingga nilai kini kewajiban meningkat (kerugian aktuarial).
- Dampak: Jika perubahan asumsi menyebabkan kewajiban naik, terjadi kerugian aktuarial; jika turun, terjadi keuntungan aktuarial.
---
 2. Contoh Praktis
 A. Penyesuaian Pengalaman
- Diasumsikan 10 karyawan pensiun tahun ini, ternyata hanya 5 yang pensiun. Karena manfaat yang dibayarkan lebih sedikit dari proyeksi, terjadi keuntungan aktuarial.
 B. Perubahan Asumsi
- Awalnya tingkat diskonto 7%, di akhir tahun berubah menjadi 6%. Penurunan tingkat diskonto meningkatkan nilai kini kewajiban, sehingga terjadi kerugian aktuarial.
---
 3. Referensi ke Standar Aktuaria yang Berlaku
- PSAK 24 Paragraf 141-142:
  &gt; "Keuntungan dan kerugian aktuaria adalah perubahan dalam nilai kini kewajiban imbalan pasti yang timbul karena penyesuaian pengalaman dan perubahan asumsi aktuaria."
- IAS 19 Paragraf 128-130:
  &gt; "Actuarial gains and losses arise from differences between previous actuarial assumptions and what has actually occurred and from the effects of changes in actuarial assumptions."
- Standar Aktuaria Indonesia (SAI):
  - Mengatur bahwa actuarial gain/loss harus diidentifikasi berdasarkan sumbernya, yaitu perubahan asumsi dan penyesuaian pengalaman.
---
 4. Saran Implementasi
- Pisahkan dalam Laporan: Dalam rekonsiliasi kewajiban imbalan pasti, pisahkan (keuntungan)/kerugian aktuarial menjadi dua: akibat perubahan asumsi dan akibat penyesuaian pengalaman.
- Analisis Penyebab: Lakukan analisis penyebab untuk meningkatkan akurasi asumsi di masa depan.
- Pengakuan di OCI: Sesuai PSAK 24/IAS 19, (keuntungan)/kerugian aktuarial pada kewajiban diakui langsung di penghasilan komprehensif lain (OCI), bukan di laba rugi.
- Dokumentasi: Catat perubahan asumsi dan realisasi aktual secara rinci untuk keperluan audit dan evaluasi.
---
 Kesimpulan
(Keuntungan)/Kerugian Aktuarial pada Kewajiban terdiri dari:
1. Penyesuaian pengalaman (experience adjustment): Perbedaan antara asumsi dan realisasi aktual selama periode berjalan.
2. Perubahan asumsi aktuaria (changes in actuarial assumptions): Dampak perubahan asumsi aktuaria pada perhitungan kewajiban.
Pembagian ini penting untuk analisis, pelaporan, dan pengelolaan risiko program imbalan pasti, serta diwajibkan oleh standar akuntansi dan aktuaria yang berlaku.
---
Referensi:
- PSAK 24: Imbalan Kerja, Paragraf 141-142
- IAS 19: Employee Benefits, Paragraf 128-130
- Standar Aktuaria Indonesia (SAI)
Jika Anda membutuhkan contoh format pelaporan atau simulasi perhitungan, silakan informasikan lebih lanjut.</t>
  </si>
  <si>
    <t>Bagaimana mutasi karyawan akan berdampak pada nilai Biaya Jasa Lalu dan OCI suatu perusahaan?</t>
  </si>
  <si>
    <t>Mutasi, OCI, BJS</t>
  </si>
  <si>
    <t>16</t>
  </si>
  <si>
    <t>Combine Support dengan Note
---
 1. Penjelasan Terstruktur
 a. Definisi Terkait
- Mutasi Karyawan: Perubahan status karyawan, baik berupa masuk (rekrutmen), keluar (resign, PHK, pensiun), atau perpindahan antar unit.
- Biaya Jasa Lalu (Past Service Cost): Kenaikan kewajiban imbalan pasti akibat perubahan program atau pengenalan program baru yang berlaku surut.
- OCI (Other Comprehensive Income): Komponen laporan laba rugi komprehensif lain, yang mencatat perubahan nilai aktuaria (actuarial gain/loss) dan dampak perubahan asumsi keuangan/demografis yang tidak langsung diakui di laba rugi.
 b. Dampak Mutasi Karyawan
 1. Terhadap Biaya Jasa Lalu
- Mutasi karyawan sendiri (misal: keluar masuknya karyawan secara normal) tidak langsung mempengaruhi Biaya Jasa Lalu, kecuali mutasi tersebut terjadi akibat perubahan program imbalan kerja (misal: perubahan aturan pensiun yang berlaku surut).
- Biaya Jasa Lalu timbul jika ada perubahan manfaat yang berlaku surut, misal: perusahaan meningkatkan manfaat pensiun untuk masa kerja sebelumnya.
- Contoh: Jika seorang karyawan keluar, dan tidak ada perubahan manfaat yang berlaku surut, maka tidak ada Biaya Jasa Lalu yang timbul akibat mutasi tersebut.
 2. Terhadap OCI
- Mutasi karyawan (misal: resign, pensiun dini, atau meninggal) dapat menyebabkan realization dari estimasi aktuaria sebelumnya, sehingga menimbulkan keuntungan atau kerugian aktuaria (actuarial gain/loss).
- Keuntungan/Kerugian Aktuaria ini, sesuai PSAK 24 (atau IAS 19), diakui langsung di OCI, bukan di laba rugi.
- Contoh: Jika asumsi aktuaria memperkirakan 10 karyawan akan pensiun tahun ini, namun ternyata 15 yang pensiun, maka selisihnya akan menimbulkan kerugian aktuaria yang diakui di OCI.
---
 2. Contoh Praktis
Misal:
- Perusahaan memiliki 100 karyawan.
- Diasumsikan 5 orang akan keluar tahun ini, namun ternyata 10 orang keluar.
- Kewajiban imbalan kerja yang telah diakui sebelumnya untuk 5 orang tambahan ini menjadi tidak perlu, sehingga terjadi keuntungan aktuaria (karena kewajiban berkurang).
- Keuntungan ini diakui di OCI.
Jika ada perubahan manfaat (misal: masa kerja dihitung ganda untuk tahun-tahun sebelumnya):
- Seluruh karyawan, baik yang masih aktif maupun yang sudah keluar, akan mengalami kenaikan manfaat.
- Kenaikan ini diakui sebagai Biaya Jasa Lalu dan dicatat di laba rugi (atau diamortisasi, tergantung kebijakan akuntansi).
---
 3. Referensi Standar Aktuaria
- PSAK 24 (IAS 19):  
  - Paragraf 102-110: Penjelasan tentang pengakuan keuntungan/kerugian aktuaria di OCI.
  - Paragraf 103-105: Penjelasan tentang Biaya Jasa Lalu.
- ISAK 15: Penjelasan lebih lanjut tentang pengakuan dan pengukuran imbalan kerja.
- PSAK 24.110: “Keuntungan atau kerugian aktuaria yang timbul dari perubahan asumsi demografis (termasuk mutasi karyawan) diakui di OCI.”
---
 4. Saran Implementasi
- Data Mutasi Karyawan harus dicatat dengan baik dan disampaikan ke aktuaria secara berkala.
- Aktuaris perlu melakukan rekonsiliasi antara asumsi dan realisasi mutasi karyawan setiap tahun untuk menghitung keuntungan/kerugian aktuaria.
- Perusahaan harus memahami bahwa perubahan manfaat (bukan mutasi biasa) yang berlaku surut akan memunculkan Biaya Jasa Lalu.
- Sosialisasi kepada manajemen penting agar memahami perbedaan dampak mutasi terhadap Biaya Jasa Lalu dan OCI.
---
 Kesimpulan
- Mutasi karyawan umumnya berdampak pada OCI melalui keuntungan/kerugian aktuaria, bukan pada Biaya Jasa Lalu.
- Biaya Jasa Lalu hanya timbul jika ada perubahan manfaat yang berlaku surut.
- Pencatatan dan pelaporan harus mengikuti PSAK 24/IAS 19 dan praktik aktuaria yang berlaku.
---
Referensi:
- PSAK 24 (Revisi 2013) – Imbalan Kerja
- IAS 19 – Employee Benefits
- ISAK 15 – PSAK 24: Batas Aset Imbalan Pasti, Persyaratan Pendanaan Minimum, dan Interaksinya
Jika ada kebutuhan implementasi lebih lanjut, disarankan untuk berkonsultasi dengan aktuaria dan akuntan perusahaan.</t>
  </si>
  <si>
    <t>Apakah perusahaan dapat mengubah kebijakan CBS atau DPLK di tengah masa kerja karyawan, dan bagaimana ini mempengaruhi perhitungan kewajiban?</t>
  </si>
  <si>
    <t>CBS, DPLK</t>
  </si>
  <si>
    <t>26</t>
  </si>
  <si>
    <t>Combine Support dengan Note
---
 1. Apakah Perusahaan Dapat Mengubah Kebijakan CBS atau DPLK di Tengah Masa Kerja?
 a. Secara Hukum dan Praktik
- Perusahaan secara hukum dapat mengubah kebijakan program imbalan kerja (termasuk CBS atau DPLK) selama perubahan tersebut sesuai dengan peraturan perundang-undangan yang berlaku (misal: UU Ketenagakerjaan, perjanjian kerja bersama, dan peraturan perusahaan).
- Perubahan dapat berupa:
  - Penghentian program lama dan penggantian dengan program baru.
  - Perubahan rumus manfaat (misal: besaran manfaat pensiun).
  - Perubahan skema pendanaan (misal: dari manfaat pasti ke iuran pasti).
- Syarat utama: Perubahan harus dikomunikasikan dengan jelas kepada karyawan dan, jika perlu, mendapat persetujuan dari pihak terkait (serikat pekerja, regulator, dsb).
 b. Contoh Praktis
- Perusahaan A awalnya menggunakan program pensiun manfaat pasti (CBS), lalu di tengah jalan mengalihkan ke DPLK (iuran pasti).
- Perusahaan B mengubah rumus manfaat pensiun dari 2% x masa kerja x gaji terakhir menjadi 1,5% x masa kerja x gaji rata-rata.
---
 2. Dampak Perubahan terhadap Perhitungan Kewajiban Imbalan Kerja
 a. Dampak Aktuaria dan Akuntansi
- Perubahan program akan mempengaruhi nilai kini kewajiban imbalan pasti (Defined Benefit Obligation/DBO).
- Jika perubahan berlaku surut (untuk masa kerja sebelumnya), akan timbul biaya jasa lalu (past service cost), yang diakui langsung di laba rugi sesuai PSAK 24/IAS 19.
- Jika perubahan hanya berlaku ke depan (prospektif), maka hanya mempengaruhi biaya jasa kini (current service cost) untuk masa kerja berikutnya.
 b. Perubahan dari CBS ke DPLK
- Jika hak karyawan atas manfaat lama tetap dihormati: Kewajiban atas masa kerja sebelumnya tetap dihitung dan diakui.
- Jika manfaat lama dikonversi ke manfaat baru: Selisih nilai manfaat dihitung sebagai biaya jasa lalu (positif atau negatif).
- Jika ada pengurangan manfaat: Dapat terjadi negative past service cost (pengurangan kewajiban).
 c. Contoh Perhitungan
Misal:
- Karyawan telah bekerja 10 tahun di program CBS, lalu perusahaan beralih ke DPLK.
- Hak atas 10 tahun masa kerja tetap dihitung dengan rumus lama (CBS), sedangkan masa kerja berikutnya mengikuti DPLK.
- Kewajiban perusahaan: Nilai kini manfaat 10 tahun masa kerja (CBS) + saldo DPLK untuk masa kerja berikutnya.
---
 3. Referensi Standar Aktuaria dan Akuntansi
- PSAK 24 (paragraf 103-105):  
  &gt; “Perubahan program atau pengenalan program baru yang berlaku surut menimbulkan biaya jasa lalu, yang diakui langsung di laba rugi.”
- IAS 19 (paragraf 102-105):  
  &gt; “Past service cost arises when an entity introduces a defined benefit plan or changes the benefits payable under an existing defined benefit plan.”
- UU No. 13 Tahun 2003 tentang Ketenagakerjaan:  
  &gt; Mengatur hak-hak karyawan atas manfaat yang telah diperoleh.
---
 4. Saran Implementasi
- Konsultasikan perubahan dengan aktuaria dan akuntan untuk menghitung dampak keuangan dan akuntansi secara tepat.
- Dokumentasikan perubahan kebijakan dan komunikasikan secara jelas kepada seluruh karyawan.
- Pastikan kepatuhan hukum terhadap peraturan ketenagakerjaan dan perjanjian kerja bersama.
- Lakukan rekonsiliasi kewajiban: Hitung kembali kewajiban imbalan kerja sesuai program baru dan lama, serta akui biaya jasa lalu jika ada.
---
 5. Kesimpulan
- Perusahaan dapat mengubah kebijakan CBS atau DPLK di tengah masa kerja, dengan syarat mengikuti ketentuan hukum dan perjanjian kerja.
- Perubahan program dapat menimbulkan biaya jasa lalu (past service cost) jika berlaku surut, yang harus diakui di laba rugi.
- Perhitungan kewajiban harus memperhatikan hak-hak karyawan atas masa kerja sebelumnya dan manfaat program baru.
- Konsultasi dengan aktuaria dan akuntan sangat penting untuk memastikan perhitungan dan pelaporan yang benar.
---
 Referensi:
- PSAK 24 (Revisi 2013) – Imbalan Kerja, paragraf 103-105
- IAS 19 – Employee Benefits, paragraf 102-105
- UU No. 13 Tahun 2003 tentang Ketenagakerjaan
---
Jika perusahaan Anda berencana mengubah kebijakan imbalan kerja, pastikan proses transisi dilakukan dengan perhitungan aktuaria yang tepat dan sesuai standar akuntansi yang berlaku.</t>
  </si>
  <si>
    <t>Mengapa hasil perhitungan tahun valuasi lebih tinggi dibandingkan tahun sebelumnya?</t>
  </si>
  <si>
    <t>30</t>
  </si>
  <si>
    <t>Combine Support dengan Note
---
 1. Penjelasan Umum
Secara umum, kewajiban imbalan kerja (misal: DBO) cenderung meningkat dari tahun ke tahun karena beberapa faktor utama berikut:
 a. Penambahan Masa Kerja (Service Accrual)
- Setiap tahun, karyawan menambah masa kerja, sehingga hak manfaat mereka bertambah.
- Penambahan ini disebut biaya jasa kini (current service cost), yang secara otomatis meningkatkan kewajiban.
 b. Bunga atas Kewajiban (Interest Cost)
- Kewajiban tahun sebelumnya akan bertambah nilainya karena faktor bunga diskonto (unwinding of discount).
- Ini adalah konsekuensi dari membawa nilai kini kewajiban ke tahun berikutnya.
 c. Perubahan Asumsi Aktuaria
- Penurunan tingkat diskonto (discount rate): Jika suku bunga acuan turun, nilai kini kewajiban akan naik.
- Perubahan asumsi gaji: Jika asumsi kenaikan gaji dinaikkan, proyeksi manfaat masa depan juga naik.
- Perubahan asumsi mortalitas, turnover, atau pensiun: Jika asumsi dibuat lebih konservatif (misal: karyawan diasumsikan lebih lama bekerja), kewajiban bisa naik.
 d. Mutasi Karyawan
- Jika jumlah karyawan bertambah, atau terjadi promosi/gaji naik, kewajiban juga meningkat.
- Jika realisasi mutasi lebih kecil dari asumsi (misal: lebih sedikit yang resign), maka kewajiban lebih tinggi dari yang diperkirakan.
 e. Perubahan Program/Manfaat
- Jika perusahaan meningkatkan manfaat (misal: rumus pensiun diperbaiki), akan timbul biaya jasa lalu (past service cost) yang menambah kewajiban.
---
 2. Contoh Praktis
Misal:
- Tahun lalu, DBO = Rp10 miliar.
- Tahun ini, karyawan tetap bekerja, gaji naik 5%, tingkat diskonto turun dari 7% ke 6%.
- Hasil valuasi tahun ini menjadi Rp12 miliar.
Penyebab kenaikan:
- Penambahan masa kerja (current service cost) = Rp0,5 miliar.
- Bunga atas kewajiban tahun lalu (interest cost) = Rp0,7 miliar.
- Kenaikan gaji dan penurunan diskonto = Rp0,8 miliar.
- Total = Rp2 miliar kenaikan.
---
 3. Referensi Standar Aktuaria
- PSAK 24 (paragraf 67-68):  
  Menjelaskan komponen perubahan kewajiban imbalan pasti, yaitu biaya jasa kini, bunga, keuntungan/kerugian aktuaria, biaya jasa lalu, dan pembayaran manfaat.
- IAS 19 (paragraf 57-61):  
  Menjelaskan faktor-faktor yang mempengaruhi perubahan DBO dari tahun ke tahun.
---
 4. Saran Implementasi
- Analisis Rekonsiliasi:  
  Mintalah aktuaria untuk menyajikan rekonsiliasi perubahan kewajiban dari tahun ke tahun, sehingga setiap komponen penyebab kenaikan dapat diidentifikasi (service cost, interest cost, actuarial gain/loss, dll).
- Review Asumsi:  
  Tinjau kembali asumsi aktuaria yang digunakan, terutama tingkat diskonto dan kenaikan gaji.
- Pantau Mutasi Karyawan:  
  Pastikan data mutasi karyawan akurat, karena perubahan jumlah dan profil karyawan sangat mempengaruhi hasil valuasi.
---
 5. Kesimpulan
Kenaikan hasil perhitungan kewajiban imbalan kerja pada tahun valuasi dibandingkan tahun sebelumnya adalah hal yang wajar dan umumnya disebabkan oleh:
- Penambahan masa kerja karyawan,
- Efek bunga atas kewajiban,
- Perubahan asumsi aktuaria (diskonto, kenaikan gaji, mortalitas, dll),
- Mutasi karyawan,
- Dan/atau perubahan manfaat program.
Analisis lebih lanjut diperlukan untuk mengetahui faktor dominan pada kasus spesifik perusahaan Anda.
---
 Referensi:
- PSAK 24 (Revisi 2013) – Imbalan Kerja, paragraf 67-68
- IAS 19 – Employee Benefits, paragraf 57-61
---
Jika Anda membutuhkan penjelasan lebih detail terkait hasil valuasi di perusahaan Anda, sebaiknya minta aktuaria untuk menyajikan rekonsiliasi perubahan kewajiban secara terperinci.</t>
  </si>
  <si>
    <t>Apakah ada keuntungan bagi perusahaan dalam menghitung CBS atau mendaftarkan karyawan ke dalam DPLK terkait perhitungan kewajiban?</t>
  </si>
  <si>
    <t>34</t>
  </si>
  <si>
    <t>Combine Support dengan Note
---
 1. Perbedaan CBS dan DPLK dalam Konteks Kewajiban Imbalan Kerja
 a. CBS (Cacat, Pensiun, dan Santunan/Manfaat Pasti)
- Skema manfaat pasti (Defined Benefit): Perusahaan menjanjikan manfaat tertentu di masa pensiun, dihitung berdasarkan rumus tertentu (misal: masa kerja dan gaji terakhir).
- Kewajiban perusahaan: Perusahaan wajib menghitung dan mengakui kewajiban imbalan kerja (DBO) sesuai standar akuntansi (PSAK 24/IAS 19).
- Risiko aktuaria dan investasi: Seluruh risiko (misal: kenaikan gaji, umur panjang, hasil investasi) ditanggung perusahaan.
 b. DPLK (Dana Pensiun Lembaga Keuangan)
- Skema iuran pasti (Defined Contribution): Perusahaan dan/atau karyawan membayar iuran tetap ke DPLK, manfaat pensiun tergantung hasil investasi.
- Kewajiban perusahaan: Kewajiban terbatas pada besarnya iuran yang dibayarkan. Tidak ada kewajiban tambahan jika hasil investasi kurang dari harapan.
- Risiko aktuaria dan investasi: Ditanggung oleh peserta (karyawan), bukan perusahaan.
---
 2. Keuntungan Menghitung CBS (Manfaat Pasti) bagi Perusahaan
 a. Kepatuhan Regulasi
- Menghitung kewajiban CBS memastikan perusahaan mematuhi standar akuntansi (PSAK 24/IAS 19) dan peraturan ketenagakerjaan.
- Menghindari risiko audit dan sanksi hukum.
 b. Perencanaan Keuangan
- Perusahaan dapat mengantisipasi besarnya kewajiban masa depan dan menyiapkan dana yang cukup.
- Membantu dalam budgeting dan pengelolaan arus kas.
 c. Transparansi dan Akuntabilitas
- Memberikan gambaran jelas kepada manajemen, pemegang saham, dan auditor mengenai posisi keuangan perusahaan terkait imbalan kerja.
 d. Manfaat bagi Karyawan
- Menjadi daya tarik dalam rekrutmen dan retensi karyawan, karena manfaat pasti lebih terjamin.
---
 3. Keuntungan Mendaftarkan Karyawan ke DPLK (Iuran Pasti) bagi Perusahaan
 a. Pengendalian Kewajiban
- Kewajiban perusahaan terbatas pada iuran yang dibayarkan. Tidak ada risiko tambahan jika hasil investasi kurang baik.
- Mengurangi volatilitas laporan keuangan akibat perubahan asumsi aktuaria.
 b. Sederhana dalam Administrasi
- Tidak perlu melakukan perhitungan aktuaria yang kompleks setiap tahun.
- Administrasi dan pengelolaan dana dilakukan oleh DPLK.
 c. Kepastian Biaya
- Biaya pensiun dapat diprediksi dan dianggarkan dengan pasti setiap tahun.
 d. Kepatuhan Regulasi
- DPLK diawasi oleh OJK, sehingga perusahaan dapat memastikan dana pensiun dikelola secara profesional dan sesuai regulasi.
---
 4. Perbandingan Praktis: CBS vs DPLK
| Aspek                | CBS (Manfaat Pasti)         | DPLK (Iuran Pasti)           |
|----------------------|-----------------------------|------------------------------|
| Kewajiban Perusahaan | Fluktuatif, tergantung valuasi aktuaria | Tetap, sebesar iuran         |
| Risiko Investasi     | Ditanggung perusahaan       | Ditanggung peserta           |
| Administrasi         | Kompleks, perlu aktuaria    | Lebih sederhana              |
| Laporan Keuangan     | Volatil, bisa naik-turun    | Stabil, mudah diprediksi     |
| Daya Tarik Karyawan  | Tinggi (jaminan manfaat)    | Tergantung hasil investasi   |
---
 5. Saran Implementasi
- Evaluasi kebutuhan perusahaan: Jika perusahaan ingin kepastian biaya dan administrasi sederhana, DPLK lebih menguntungkan. Jika ingin memberikan manfaat lebih pasti bagi karyawan, CBS bisa dipertimbangkan.
- Konsultasi dengan aktuaria dan akuntan: Untuk transisi dari CBS ke DPLK, pastikan perhitungan kewajiban masa lalu dilakukan dengan benar (termasuk biaya jasa lalu).
- Pertimbangkan regulasi dan perjanjian kerja: Pastikan perubahan skema sesuai dengan UU Ketenagakerjaan dan perjanjian kerja bersama.
---
 6. Kesimpulan
- Menghitung CBS memberikan kepatuhan regulasi, transparansi, dan perencanaan keuangan, namun menimbulkan kewajiban dan risiko yang fluktuatif bagi perusahaan.
- Mendaftarkan karyawan ke DPLK memberikan kepastian biaya, administrasi lebih sederhana, dan mengalihkan risiko investasi ke peserta, sehingga sering dianggap lebih menguntungkan dari sisi pengelolaan kewajiban perusahaan.
- Pilihan terbaik tergantung pada strategi perusahaan, profil tenaga kerja, dan tujuan jangka panjang.
---
 Referensi Standar:
- PSAK 24 (Revisi 2013) – Imbalan Kerja
- IAS 19 – Employee Benefits
- UU No. 11 Tahun 1992 tentang Dana Pensiun
- POJK No. 5/POJK.05/2014 tentang Penyelenggaraan Dana Pensiun Lembaga Keuangan
---
Jika perusahaan Anda mempertimbangkan perubahan skema imbalan kerja, konsultasikan dengan aktuaria dan akuntan untuk memastikan perhitungan kewajiban dan pelaporan keuangan dilakukan secara tepat dan sesuai standar.</t>
  </si>
  <si>
    <t>Bagaimana jika terdapat realisasi pembayaran untuk karyawan yang sebelumnya belum masuk pada perhitungan IPK?</t>
  </si>
  <si>
    <t>45</t>
  </si>
  <si>
    <t>Combine Support dengan Note
---
 1. Penjelasan Umum
 a. Definisi Masalah
- IPK (Imbalan Pasca Kerja) adalah kewajiban yang diakui perusahaan untuk membayar manfaat kepada karyawan setelah masa kerja berakhir (misal: pensiun, PHK, meninggal dunia).
- Dalam praktik, perhitungan IPK biasanya dilakukan berdasarkan data karyawan yang tersedia pada saat valuasi.
- Permasalahan: Terkadang, ada karyawan yang tidak tercatat atau tidak masuk dalam data valuasi, tetapi kemudian terjadi realisasi pembayaran manfaat (misal: pensiun, PHK, atau meninggal) kepada mereka.
 b. Penyebab Umum
- Data karyawan tidak lengkap atau ada keterlambatan update data.
- Karyawan kontrak, outsourcing, atau kategori khusus yang tidak terdata.
- Kesalahan administrasi atau human error.
---
 2. Dampak terhadap Perhitungan dan Laporan Keuangan
 a. Dampak pada Kewajiban IPK
- Kewajiban IPK yang dilaporkan menjadi understated (kurang dari seharusnya) karena tidak memasukkan karyawan tersebut.
- Realisasi pembayaran kepada karyawan yang tidak masuk valuasi akan menambah beban biaya pada periode pembayaran.
 b. Dampak pada Laporan Keuangan
- Pembayaran manfaat kepada karyawan yang tidak masuk valuasi harus diakui sebagai biaya imbalan kerja pada periode terjadinya pembayaran.
- Hal ini dapat menyebabkan perbedaan (reconciling item) antara saldo kewajiban IPK yang dihitung aktuaria dan realisasi pembayaran aktual.
---
 3. Penanganan Praktis dan Teoritis
 a. Praktik Akuntansi (PSAK 24/IAS 19)
- Pembayaran manfaat kepada karyawan yang tidak masuk valuasi diakui sebagai biaya imbalan kerja pada saat pembayaran (immediate recognition).
- Jika jumlahnya material, perusahaan dapat melakukan penyesuaian (adjustment) pada saldo kewajiban IPK dan mengungkapkan dalam catatan atas laporan keuangan.
 b. Praktik Aktuaria
- Pada valuasi berikutnya, data karyawan harus diperbaiki agar kasus serupa tidak terulang.
- Aktuaria dapat melakukan rekonsiliasi antara pembayaran aktual dan kewajiban yang diakui, serta memberikan penjelasan atas selisih yang terjadi.
 c. Contoh Praktis
Misal:
- Tahun lalu, karyawan A tidak masuk dalam data valuasi IPK.
- Tahun ini, karyawan A pensiun dan menerima pembayaran manfaat Rp100 juta.
- Pembayaran Rp100 juta ini tidak tercermin dalam saldo kewajiban IPK tahun lalu, sehingga harus diakui sebagai beban pada tahun berjalan.
---
 4. Saran Implementasi
- Perbaiki proses administrasi data karyawan: Pastikan seluruh karyawan yang berhak atas imbalan pasca kerja tercatat dengan benar dalam data valuasi.
- Lakukan rekonsiliasi rutin: Bandingkan pembayaran aktual dengan saldo kewajiban IPK untuk mengidentifikasi dan menjelaskan selisih.
- Ungkapkan dalam laporan keuangan: Jika terdapat pembayaran signifikan kepada karyawan yang tidak masuk valuasi, ungkapkan dalam catatan atas laporan keuangan sebagai penyesuaian atau biaya satu kali (one-off).
- Konsultasikan dengan aktuaria dan auditor: Untuk memastikan perlakuan akuntansi dan pelaporan sesuai standar.
---
 5. Kesimpulan
- Pembayaran manfaat kepada karyawan yang tidak masuk perhitungan IPK harus diakui sebagai beban pada saat pembayaran.
- Hal ini dapat menyebabkan saldo kewajiban IPK yang dilaporkan menjadi kurang dari seharusnya.
- Perbaikan data dan rekonsiliasi sangat penting untuk mencegah dan mengelola kasus serupa di masa depan.
- Konsultasi dengan aktuaria dan auditor diperlukan untuk memastikan perlakuan akuntansi dan pelaporan yang tepat.
---
 Referensi Standar:
- PSAK 24 (Revisi 2013) – Imbalan Kerja, paragraf 67-68, 103-105
- IAS 19 – Employee Benefits, paragraf 57-61, 102-105
---
Jika kasus ini terjadi di perusahaan Anda, segera lakukan perbaikan data dan konsultasikan dengan aktuaria serta auditor untuk memastikan pelaporan keuangan tetap akurat dan sesuai standar.</t>
  </si>
  <si>
    <t>Jika jumlah karyawan bertambah tetapi liabilitas dari perhitungan aktuaria lebih kecil dibandingkan tahun sebelumnya, bagaimana cara memastikan Uang Penghargaan Hak (UPH) sudah dihitung dengan benar?</t>
  </si>
  <si>
    <t>UPH</t>
  </si>
  <si>
    <t>No Note
 1. Analisis Situasi
Secara umum, penambahan jumlah karyawan biasanya akan meningkatkan liabilitas imbalan kerja (termasuk UPH), karena lebih banyak individu yang berhak atas manfaat. Namun, jika liabilitas justru turun, hal ini perlu dianalisis lebih lanjut karena bisa disebabkan oleh beberapa faktor, antara lain:
- Perubahan asumsi aktuaria (misal: kenaikan tingkat diskonto, penurunan asumsi kenaikan gaji, perubahan mortalitas/turnover)
- Pembayaran manfaat besar pada tahun berjalan (misal: banyak karyawan pensiun/PHK dan sudah dibayar)
- Perubahan data karyawan (misal: banyak karyawan senior keluar, digantikan karyawan baru dengan masa kerja pendek)
- Kesalahan atau ketidaklengkapan data dalam perhitungan aktuaria
---
 2. Langkah Praktis Memastikan UPH Sudah Dihitung dengan Benar
 a. Verifikasi Data Karyawan
- Pastikan seluruh karyawan yang berhak atas UPH sudah masuk dalam data valuasi. Lakukan rekonsiliasi antara data HR (jumlah, nama, masa kerja, gaji) dan data yang digunakan aktuaria.
- Periksa mutasi karyawan: Apakah ada karyawan keluar/masuk yang belum tercatat? Apakah data masa kerja dan gaji sudah akurat?
 b. Review Asumsi Aktuaria
- Tinjau perubahan asumsi antara tahun lalu dan tahun berjalan, terutama:
  - Tingkat diskonto (discount rate)
  - Kenaikan gaji (salary increase)
  - Mortalitas, turnover, usia pensiun
- Simulasikan dampak perubahan asumsi terhadap liabilitas. Kadang, kenaikan diskonto atau penurunan asumsi kenaikan gaji bisa menurunkan liabilitas secara signifikan, meski jumlah karyawan bertambah.
 c. Analisis Komposisi Karyawan
- Periksa profil karyawan baru: Jika banyak karyawan baru dengan masa kerja pendek, kontribusi mereka terhadap liabilitas UPH masih kecil.
- Periksa apakah ada pembayaran manfaat besar kepada karyawan lama (senior) yang keluar, sehingga liabilitas sisa menjadi lebih kecil.
 d. Rekonsiliasi Perubahan Liabilitas
- Minta aktuaria menyajikan rekonsiliasi perubahan liabilitas dari tahun ke tahun (roll-forward reconciliation), yang memisahkan:
  - Biaya jasa kini (current service cost)
  - Bunga atas kewajiban (interest cost)
  - Pembayaran manfaat (benefit paid)
  - Keuntungan/kerugian aktuaria (actuarial gain/loss)
  - Penambahan/pengurangan peserta
 e. Uji Perhitungan UPH
- Ambil sampel karyawan (lama dan baru), hitung manual UPH sesuai rumus yang berlaku (misal: sesuai UU Ketenagakerjaan atau kebijakan perusahaan), lalu bandingkan dengan hasil valuasi.
- Pastikan rumus dan parameter UPH (masa kerja, gaji, faktor pengali) sudah diterapkan konsisten.
---
 3. Referensi Standar Aktuaria dan Akuntansi
- PSAK 24 (paragraf 67-68): Menjelaskan komponen perubahan kewajiban imbalan pasti, termasuk biaya jasa kini, bunga, pembayaran manfaat, dan keuntungan/kerugian aktuaria.
- IAS 19 (paragraf 57-61): Menjelaskan faktor-faktor yang mempengaruhi perubahan DBO (liabilitas imbalan pasti).
- Praktik aktuaria: Selalu lakukan rekonsiliasi data dan hasil perhitungan, serta uji kewajaran hasil valuasi.
---
 4. Saran Implementasi
- Lakukan audit data karyawan secara berkala, terutama saat terjadi perubahan jumlah karyawan yang signifikan.
- Minta aktuaria menyajikan rekonsiliasi perubahan liabilitas secara terperinci, agar setiap komponen perubahan dapat dianalisis.
- Lakukan uji petik (sampling) perhitungan UPH untuk memastikan rumus dan data sudah benar.
- Diskusikan dengan aktuaria jika ada hasil yang tidak wajar, dan minta penjelasan faktor utama penurunan liabilitas.
---
 5. Kesimpulan
Jika jumlah karyawan bertambah tetapi liabilitas UPH turun, pastikan:
- Data karyawan sudah lengkap dan akurat,
- Asumsi aktuaria tidak berubah secara signifikan tanpa alasan jelas,
- Tidak ada pembayaran manfaat besar yang mengurangi liabilitas,
- Rumus dan parameter UPH sudah diterapkan dengan benar.
Langkah utama adalah melakukan rekonsiliasi data dan hasil perhitungan, serta uji petik perhitungan UPH pada beberapa karyawan. Jika masih ada keraguan, konsultasikan dengan aktuaria dan auditor untuk memastikan pelaporan keuangan sudah sesuai standar.
---
 Referensi:
- PSAK 24 (Revisi 2013) – Imbalan Kerja, paragraf 67-68
- IAS 19 – Employee Benefits, paragraf 57-61
---
Jika Anda membutuhkan template rekonsiliasi atau contoh uji petik perhitungan UPH, silakan informasikan lebih lanjut.</t>
  </si>
  <si>
    <t>Bagaimana penjelasannya jika jumlah karyawan berkurang dan asumsi kenaikan gaji tidak signifikan, namun alokasi biaya justru meningkat cukup besar?</t>
  </si>
  <si>
    <t>Biaya</t>
  </si>
  <si>
    <t>Combine Support dengan Note
---
 1. Analisis Situasi
Secara logika, penurunan jumlah karyawan dan asumsi kenaikan gaji yang stabil biasanya akan menurunkan atau menstabilkan liabilitas dan biaya imbalan kerja. Namun, jika alokasi biaya justru meningkat signifikan, ada beberapa faktor aktuaria dan akuntansi yang perlu diperhatikan.
---
 2. Faktor Penyebab Alokasi Biaya Meningkat
 a. Perubahan Asumsi Diskonto (Discount Rate)
- Penurunan tingkat diskonto (misal, suku bunga pasar turun) akan meningkatkan nilai kini kewajiban (DBO), sehingga biaya imbalan kerja naik.
- Ini adalah salah satu faktor paling signifikan dalam valuasi aktuaria.
Contoh:  
Jika tahun lalu tingkat diskonto 8%, lalu turun menjadi 6%, maka nilai kini kewajiban akan naik walaupun jumlah karyawan turun.
---
 b. Perubahan Komposisi Karyawan
- Jika karyawan yang keluar adalah karyawan baru (masa kerja pendek), sedangkan yang tersisa adalah karyawan senior (masa kerja panjang), maka liabilitas per orang bisa lebih besar.
- Biaya jasa kini (current service cost) per karyawan senior lebih tinggi.
---
 c. Pembayaran Manfaat atau Pengakuan Biaya Jasa Lalu
- Jika terjadi pembayaran manfaat (misal: PHK massal, pensiun dini) dan ada pengakuan biaya jasa lalu (past service cost), biaya tahun berjalan bisa melonjak.
- Biaya jasa lalu terjadi jika ada perubahan program manfaat yang meningkatkan hak karyawan.
---
 d. Kerugian Aktuaria (Actuarial Loss)
- Kerugian aktuaria akibat realisasi pengalaman (experience adjustment) yang lebih buruk dari asumsi, misal: kenaikan gaji aktual lebih tinggi dari asumsi, atau tingkat keluar lebih rendah dari asumsi.
- Kerugian ini bisa langsung diakui ke laba rugi (jika menggunakan metode tertentu) atau ke penghasilan komprehensif lain.
---
 e. Perubahan Kebijakan atau Program Imbalan
- Jika perusahaan memperbaiki atau menambah manfaat (misal: menaikkan rumus UPH), biaya akan naik meski jumlah karyawan turun.
---
 3. Langkah Praktis Analisis dan Verifikasi
 a. Minta Rekonsiliasi Perubahan Liabilitas
- Minta aktuaria menyajikan rekonsiliasi perubahan liabilitas (roll-forward), yang memisahkan:
  - Biaya jasa kini
  - Biaya bunga
  - Pembayaran manfaat
  - Keuntungan/kerugian aktuaria
  - Biaya jasa lalu
 b. Analisis Komponen Biaya
- Lihat komponen mana yang paling besar naiknya: biaya jasa kini, biaya bunga, atau kerugian aktuaria.
- Bandingkan dengan tahun sebelumnya.
 c. Uji Sensitivitas
- Simulasikan dampak perubahan tingkat diskonto dan asumsi lain terhadap biaya.
 d. Audit Data dan Asumsi
- Pastikan data karyawan dan asumsi aktuaria sudah benar dan konsisten.
---
 4. Referensi Standar Aktuaria dan Akuntansi
- PSAK 24 (paragraf 67-68): Menjelaskan komponen perubahan kewajiban imbalan pasti, termasuk biaya jasa kini, bunga, pembayaran manfaat, dan keuntungan/kerugian aktuaria.
- IAS 19 (paragraf 57-61): Menjelaskan faktor-faktor yang mempengaruhi perubahan DBO (liabilitas imbalan pasti).
---
 5. Kesimpulan dan Saran Implementasi
Kesimpulan:  
Meningkatnya alokasi biaya meski jumlah karyawan turun dan asumsi kenaikan gaji stabil biasanya disebabkan oleh:
- Penurunan tingkat diskonto,
- Perubahan komposisi karyawan (lebih senior),
- Pembayaran manfaat besar atau pengakuan biaya jasa lalu,
- Kerugian aktuaria,
- Perubahan kebijakan manfaat.
Saran:
- Selalu lakukan rekonsiliasi perubahan liabilitas dan biaya.
- Audit data dan asumsi secara berkala.
- Diskusikan dengan aktuaria untuk mendapatkan penjelasan detail atas perubahan biaya yang signifikan.
---
Jika Anda membutuhkan template rekonsiliasi atau simulasi dampak perubahan asumsi, silakan informasikan lebih lanjut.</t>
  </si>
  <si>
    <t>Apabila basis perhitungan dengan diketahui data:
Rata-rata kenaikan gaji:
1. Karyawan Tetap:
2023: Rp 9.304.058
2024: Rp 10.096.908 (kenaikan sekitar 8,52%)
2. Karyawan Kontrak:
2023: Rp 5.236.600
2024: Rp 5.297.424 (kenaikan sekitar 1,16%)
Untuk karyawan tetap tahun 2023 ke 2024 mengalami penurunan 1 orang tetapi perhitungannya mengalami kenaikan.
Untuk karyawan kontrak dengan asumsi kenaikan sekitar 1,16% dibanding dengan tahun 2023 dengan asumsi kenaikan 3% tetapi hasil alokasi biayanya meningkat cukup signifikan ke 1,64 Miliar.
Bagaimana penjelasannya?</t>
  </si>
  <si>
    <t>Combine Support dengan Note
Tentu, berikut adalah penjelasan komprehensif mengenai kenapa alokasi biaya imbalan kerja (misal: UPH/Imbalan Pasca Kerja) untuk karyawan kontrak bisa meningkat signifikan (menjadi Rp 1,64 Miliar) meskipun:
- Rata-rata kenaikan gaji karyawan kontrak hanya 1,16% (lebih rendah dari asumsi tahun lalu 3%)
- Jumlah karyawan tetap justru turun 1 orang, namun perhitungan liabilitas naik
- Data yang tersedia hanya terkait rata-rata gaji dan kenaikan gaji
Karena tidak ada dokumen relevan yang ditemukan, penjelasan berikut mengacu pada pengetahuan umum aktuaria, praktik PSAK 24/IAS 19, dan analisis logis atas data yang Anda berikan.
---
 1. Analisis Situasi dan Data
 a. Karyawan Tetap
- Jumlah turun 1 orang (2023 ke 2024)
- Rata-rata gaji naik 8,52%
- Liabilitas naik meski jumlah turun → wajar jika karyawan yang keluar masa kerjanya pendek, sedangkan yang tersisa masa kerjanya panjang (senior), sehingga liabilitas per orang lebih besar.
 b. Karyawan Kontrak
- Rata-rata gaji naik 1,16% (lebih rendah dari asumsi tahun lalu 3%)
- Alokasi biaya naik signifikan ke Rp 1,64 Miliar
- Jumlah karyawan tidak disebutkan (asumsi tidak turun drastis)
---
 2. Faktor Penyebab Alokasi Biaya Meningkat
 a. Perubahan Komposisi Karyawan
- Jika karyawan kontrak yang keluar adalah yang masa kerjanya pendek, sedangkan yang bertahan adalah yang masa kerjanya lebih panjang, maka liabilitas per orang naik.
- Penambahan karyawan kontrak senior atau perpanjangan kontrak yang menyebabkan masa kerja akumulatif lebih panjang juga bisa menaikkan liabilitas.
 b. Perubahan Asumsi Aktuaria Lain
- Tingkat diskonto (discount rate): Jika suku bunga acuan turun, nilai kini kewajiban naik, sehingga biaya naik, meski kenaikan gaji rendah.
- Turnover rate: Jika asumsi tingkat keluar (turnover) diturunkan (misal, diasumsikan lebih banyak karyawan bertahan), maka lebih banyak karyawan yang diproyeksikan menerima manfaat, sehingga liabilitas naik.
- Usia pensiun: Jika asumsi usia pensiun dinaikkan, masa kerja lebih panjang, manfaat lebih besar.
 c. Pembayaran Manfaat atau Pengakuan Biaya Jasa Lalu
- Jika ada perubahan kebijakan yang meningkatkan hak karyawan kontrak (misal, perubahan rumus UPH, atau pengakuan masa kerja sebelumnya), biaya bisa naik signifikan.
- Jika ada pembayaran manfaat besar pada tahun berjalan, bisa mempengaruhi biaya tahun berjalan (tergantung metode pengakuan).
 d. Kerugian Aktuaria (Actuarial Loss)
- Jika realisasi pengalaman (misal, kenaikan gaji aktual, tingkat keluar aktual) lebih buruk dari asumsi, terjadi kerugian aktuaria yang meningkatkan biaya.
 e. Perubahan Data Karyawan
- Penambahan jumlah karyawan kontrak secara signifikan, meski rata-rata gaji naik sedikit, tetap bisa menaikkan total biaya.
- Perubahan status karyawan (misal, banyak karyawan kontrak yang diperpanjang kontraknya sehingga masa kerja bertambah).
---
 3. Penjelasan Praktis (Studi Kasus Sederhana)
Misal:
- Tahun 2023: 100 karyawan kontrak, rata-rata masa kerja 1 tahun, rata-rata gaji Rp 5,2 juta.
- Tahun 2024: 100 karyawan kontrak, rata-rata masa kerja 2 tahun, rata-rata gaji Rp 5,3 juta.
Meskipun kenaikan gaji hanya 1,16%, jika masa kerja rata-rata naik dari 1 ke 2 tahun, maka hak UPH/imbalan pasca kerja yang harus dicadangkan naik hampir dua kali lipat per orang.
Atau, jika asumsi tingkat diskonto turun dari 8% ke 6%, nilai kini kewajiban bisa naik 10-20% tergantung profil usia dan masa kerja.
---
 4. Langkah Verifikasi dan Saran Implementasi
 a. Lakukan Rekonsiliasi Perubahan Liabilitas
- Minta aktuaria menyajikan rekonsiliasi perubahan liabilitas (roll-forward) untuk karyawan kontrak, sehingga bisa dilihat komponen mana yang menyebabkan kenaikan biaya (biaya jasa kini, bunga, kerugian aktuaria, perubahan asumsi, dll).
 b. Audit Data Karyawan
- Pastikan data jumlah, masa kerja, dan gaji karyawan kontrak sudah benar.
- Periksa apakah ada perubahan status, penambahan karyawan senior, atau perpanjangan kontrak massal.
 c. Review Asumsi Aktuaria
- Tinjau perubahan tingkat diskonto, turnover, usia pensiun, dan asumsi lain yang digunakan dalam valuasi.
 d. Uji Petik Perhitungan
- Ambil sampel beberapa karyawan kontrak, hitung manual hak UPH/imbalan pasca kerja sesuai rumus, lalu bandingkan dengan hasil valuasi.
---
 5. Kesimpulan
Alokasi biaya imbalan kerja untuk karyawan kontrak bisa naik signifikan meski kenaikan gaji rendah jika:
- Ada perubahan komposisi karyawan (lebih senior, masa kerja lebih panjang)
- Ada perubahan asumsi aktuaria (diskonto turun, turnover turun)
- Ada perubahan kebijakan manfaat atau pengakuan masa kerja
- Ada kerugian aktuaria dari pengalaman aktual
Langkah utama:  
Lakukan rekonsiliasi perubahan liabilitas, audit data, dan review asumsi aktuaria untuk memastikan hasil perhitungan sudah wajar dan sesuai standar (PSAK 24/IAS 19).
---
 Referensi Standar:
- PSAK 24 (Revisi 2013) – Imbalan Kerja, paragraf 67-68, 103-105
- IAS 19 – Employee Benefits, paragraf 57-61, 102-105
---
Jika Anda membutuhkan template rekonsiliasi atau contoh uji petik perhitungan, silakan informasikan lebih lanjut.</t>
  </si>
  <si>
    <t>Mengapa nilai kewajiban OLTEB per tahun valuasi turun drastis dibandingkan tahun sebelumnya?</t>
  </si>
  <si>
    <t>No Note
 1. Penjelasan Terstruktur
 A. Faktor Utama Penurunan Kewajiban OLTEB
Berdasarkan dokumen [2], [4], dan [10], penurunan nilai kewajiban OLTEB secara drastis umumnya disebabkan oleh beberapa faktor utama berikut:
1. Penghapusan atau Penghentian Program Manfaat
   - Jika perusahaan memutuskan untuk menghapus atau menghentikan program loyalitas/imbalan jangka panjang tertentu (misal: penghargaan masa kerja, cuti besar yang dapat diuangkan), maka seluruh kewajiban terkait program tersebut akan di-reversal (dibalikkan) sehingga nilai kewajiban turun signifikan.
   - Referensi: Dokumen [2], [4]
2. Penyesuaian Kebijakan Manfaat
   - Perubahan kebijakan, seperti pengurangan besaran manfaat, perubahan syarat kepesertaan, atau pengetatan aturan vested, dapat menyebabkan pembalikan (reversal) atas kewajiban masa lalu (past service cost).
   - Referensi: Dokumen [2], [10], [16]
3. Koreksi Data Karyawan atau Manfaat Vested
   - Koreksi data, misalnya penghapusan karyawan yang sudah tidak eligible, revisi masa kerja, atau manfaat vested yang ternyata tidak lagi berlaku, akan menurunkan nilai kewajiban.
   - Referensi: Dokumen [2], [4], [16]
4. Curtailment (Pengurangan Kewajiban)
   - Terjadi jika ada restrukturisasi, PHK massal, atau early retirement yang mengurangi jumlah karyawan yang berhak atas manfaat OLTEB.
   - Referensi: Dokumen [10]
5. Perubahan Asumsi Aktuaria
   - Misalnya, kenaikan tingkat diskonto (discount rate) akan menurunkan nilai kini kewajiban (PVDBO), walaupun biasanya efeknya tidak sedrastis perubahan kebijakan atau penghapusan program.
   - Referensi: Dokumen [8], [6]
 B. Pencatatan Akuntansi
- PSAK 24 (dan PSAK 24 revisi, bukan PSAK 219): Untuk OLTEB, seluruh dampak penurunan kewajiban langsung diakui di laba rugi (P&amp;L), tidak melalui OCI (Other Comprehensive Income).
- Referensi: Dokumen [2], [15]
---
 2. Contoh Praktis
Contoh 1: Penghapusan Program
- Tahun 2023: Perusahaan memiliki program penghargaan masa kerja 20 tahun dengan nilai manfaat Rp10 juta/karyawan.
- Tahun 2024: Program dihapus, sehingga seluruh kewajiban yang telah diakui untuk program ini dibalikkan (reversal) → Nilai kewajiban OLTEB turun drastis.
Contoh 2: Koreksi Data
- Setelah audit, ditemukan 50 karyawan yang sebelumnya diakui sebagai eligible ternyata sudah resign sebelum memenuhi syarat manfaat. Kewajiban untuk 50 karyawan ini dihapus → Penurunan kewajiban.
---
 3. Referensi Standar Aktuaria
- PSAK 24 (Imbalan Kerja): Mengatur pengakuan, pengukuran, dan pengungkapan kewajiban OLTEB. Penurunan kewajiban akibat curtailment, settlement, atau perubahan program diakui langsung di laba rugi.
- ISAK 15: Menjelaskan perlakuan perubahan program dan curtailment.
- Standar Aktuaria Indonesia (SAI): SAI 16 tentang Imbalan Kerja.
---
 4. Saran Implementasi
- Dokumentasikan Perubahan: Setiap perubahan kebijakan atau program harus didokumentasikan secara formal dan dikomunikasikan ke aktuaria.
- Audit Data Karyawan: Lakukan audit data secara berkala untuk memastikan hanya karyawan eligible yang diperhitungkan.
- Review Asumsi: Tinjau ulang asumsi aktuaria secara periodik agar sesuai dengan kondisi aktual perusahaan.
- Konsultasi dengan Akuntan: Pastikan pencatatan penurunan kewajiban sesuai PSAK 24, yaitu langsung ke laba rugi untuk OLTEB.
---
 Kesimpulan
Penurunan drastis nilai kewajiban OLTEB pada tahun valuasi biasanya disebabkan oleh penghapusan/penghentian program, perubahan kebijakan manfaat, koreksi data karyawan, atau curtailment. Seluruh dampak penurunan ini untuk OLTEB langsung diakui di laba rugi sesuai PSAK 24.  
Implementasi yang baik memerlukan dokumentasi perubahan, audit data, dan review asumsi secara berkala.
---
Referensi Dokumen:  
- Dokumen [2], [4], [10], [16]  
Referensi Standar:  
- PSAK 24, ISAK 15, SAI 16
Jika membutuhkan analisis lebih detail, sebaiknya lakukan rekonsiliasi antara perubahan data, kebijakan, dan hasil valuasi aktuaria tahun berjalan.</t>
  </si>
  <si>
    <t>Apakah bisa melakukan perhitungan untuk karyawan yang di PHK?</t>
  </si>
  <si>
    <t>PHK</t>
  </si>
  <si>
    <t>Combine Support dengan Note
---
 1. Penjelasan Terstruktur
 A. Dasar Perhitungan Aktuaria untuk Karyawan PHK
- Perhitungan aktuaria untuk karyawan yang di-PHK dapat dan memang perlu dilakukan, terutama untuk memastikan kewajiban perusahaan tercatat secara akurat dalam laporan keuangan.
- PHK (Pemutusan Hubungan Kerja) adalah salah satu skenario yang diatur dalam PSAK 24 dan Standar Aktuaria Indonesia (SAI 16), karena dapat menimbulkan kewajiban imbalan kerja seperti pesangon, uang penghargaan masa kerja, uang penggantian hak, dan manfaat lain sesuai peraturan perundangan yang berlaku (lihat [DOKUMEN 8], [DOKUMEN 19]).
 B. Kapan Karyawan PHK Dihitung dalam Valuasi Aktuaria?
- Karyawan yang sudah di-PHK dan seluruh manfaatnya sudah dibayar sebelum tanggal valuasi: Tidak perlu lagi dimasukkan dalam perhitungan aktuaria, karena kewajibannya sudah direalisasikan ([DOKUMEN 9]).
- Karyawan yang di-PHK tetapi manfaatnya belum dibayar penuh per tanggal valuasi: Masih harus dihitung dalam valuasi aktuaria sebagai bagian dari kewajiban perusahaan ([DOKUMEN 9], [DOKUMEN 12]).
- Karyawan yang akan di-PHK di masa depan (setelah tanggal valuasi): Selama belum ada keputusan resmi dan pembayaran, tetap dihitung sebagai karyawan aktif dalam valuasi ([DOKUMEN 4], [DOKUMEN 11]).
 C. Jenis Manfaat PHK yang Dihitung
- Manfaat PHK yang diatur dalam UU Ketenagakerjaan/Peraturan Perusahaan: Pesangon, uang penghargaan masa kerja, uang penggantian hak, dan manfaat lain yang bersifat pasca kerja ([DOKUMEN 8], [DOKUMEN 19]).
- Bonus atau kompensasi PHK yang bersifat insidentil: Biasanya tidak dihitung sebagai kewajiban aktuaria jangka panjang, tetapi dicatat sebagai biaya operasional tahun berjalan atau curtailment jika terkait restrukturisasi ([DOKUMEN 2], [DOKUMEN 3], [DOKUMEN 5]).
---
 2. Contoh Praktis
Contoh 1:  
Karyawan A di-PHK pada 1 Juli 2024, pesangon dibayar penuh pada 5 Juli 2024.  
- Jika tanggal valuasi adalah 31 Desember 2024, karyawan A tidak perlu lagi dihitung dalam valuasi karena kewajibannya sudah direalisasikan ([DOKUMEN 9]).
Contoh 2:  
Perusahaan berencana melakukan PHK massal pada Maret 2025, tetapi per 31 Desember 2024 belum ada keputusan resmi.  
- Semua karyawan yang masih aktif per 31 Desember 2024 tetap harus dihitung dalam valuasi aktuaria ([DOKUMEN 4], [DOKUMEN 11]).
---
 3. Referensi Standar Aktuaria dan Akuntansi
- PSAK 24 (Imbalan Kerja): Mengatur pengakuan, pengukuran, dan pengungkapan kewajiban imbalan kerja, termasuk akibat PHK.
- SAI 16 (Imbalan Kerja): Standar Aktuaria Indonesia yang mengatur perhitungan imbalan kerja, termasuk manfaat PHK.
- ISAK 15: Menjelaskan perlakuan perubahan program dan curtailment.
- UU Ketenagakerjaan/PP 35/2021: Mengatur hak-hak karyawan yang di-PHK.
---
 4. Saran Implementasi Praktis
- Kumpulkan Dokumen Pendukung: Pastikan ada dokumen resmi terkait PHK (SK PHK, rincian manfaat, tanggal pembayaran) ([DOKUMEN 12]).
- Validasi Data: Pastikan data karyawan yang di-PHK dan manfaat yang sudah dibayar/divalidasi agar tidak terjadi double counting atau under/overstatement kewajiban ([DOKUMEN 16]).
- Konsultasi dengan Akuntan: Untuk memastikan perlakuan akuntansi sesuai PSAK 24, terutama jika ada curtailment atau perubahan program.
- Audit Internal: Lakukan audit data secara berkala untuk memastikan hanya karyawan eligible yang diperhitungkan.
---
 5. Kesimpulan
Perhitungan aktuaria untuk karyawan yang di-PHK bisa dan perlu dilakukan, sesuai dengan ketentuan PSAK 24 dan SAI 16.  
- Jika manfaat PHK sudah dibayar sebelum tanggal valuasi, tidak perlu dihitung lagi.
- Jika belum dibayar, tetap dihitung sebagai kewajiban.
- Manfaat PHK yang dihitung adalah yang diatur dalam peraturan perundangan atau peraturan perusahaan.
- Perlakuan akuntansi harus mengikuti PSAK 24, dan dokumentasi harus lengkap.
---
 Referensi Dokumen
- [DOKUMEN 1], [DOKUMEN 2], [DOKUMEN 3], [DOKUMEN 4], [DOKUMEN 5], [DOKUMEN 8], [DOKUMEN 9], [DOKUMEN 11], [DOKUMEN 12], [DOKUMEN 16], [DOKUMEN 19]
 Referensi Standar
- PSAK 24, ISAK 15, SAI 16, UU Ketenagakerjaan/PP 35/2021
---
Jika membutuhkan perhitungan spesifik, siapkan data karyawan, tanggal PHK, dan rincian manfaat yang diberikan. Konsultasikan dengan aktuaria dan akuntan untuk memastikan perlakuan yang tepat.</t>
  </si>
  <si>
    <t>Apabila pada peraturan perusahaan terdapat penjelasan secara spesifik berupa benefit yang akan didapat karyawan selama sakit dan sakit Berkepanjangan seperti upah, apakah masuk ke dalam perhitungan PSAK 24?</t>
  </si>
  <si>
    <t>Benefit</t>
  </si>
  <si>
    <t>Combine Support dengan Note
---
 1. Penjelasan Terstruktur
 A. Definisi dan Ruang Lingkup PSAK 24/219
- PSAK 24/219 mengatur pengakuan, pengukuran, dan pengungkapan imbalan kerja, termasuk imbalan pasca kerja (post-employment benefits) dan imbalan jangka panjang lainnya (Other Long-Term Employee Benefits/OLTEB) ([DOKUMEN 1], [DOKUMEN 19], [DOKUMEN 20]).
- Imbalan pasca kerja: Manfaat yang diberikan setelah masa kerja berakhir, seperti pesangon, pensiun, penghargaan masa kerja ([DOKUMEN 1], [DOKUMEN 19]).
- Imbalan jangka panjang lainnya (OLTEB): Manfaat yang dibayarkan lebih dari 12 bulan setelah periode kerja berakhir, misal cuti besar, jaminan kesehatan pasca pensiun ([DOKUMEN 6]).
 B. Manfaat Selama Sakit dan Sakit Berkepanjangan
- Upah selama sakit (misal: gaji tetap dibayar saat karyawan sakit dalam jangka pendek) umumnya tidak masuk ke dalam perhitungan PSAK 24/219 jika:
  - Manfaat tersebut diberikan selama karyawan masih aktif bekerja dan sakitnya bersifat jangka pendek (cuti sakit biasa).
  - Manfaat dibayarkan dalam waktu ≤12 bulan sejak akhir periode pelaporan ([DOKUMEN 6], [DOKUMEN 20]).
  - Alasannya: Manfaat ini dikategorikan sebagai imbalan kerja jangka pendek (short-term employee benefits), yang diakui langsung sebagai beban pada periode terjadinya, bukan dicadangkan secara aktuaria ([DOKUMEN 10], [DOKUMEN 20]).
- Manfaat sakit berkepanjangan (long-term sick leave/long-term disability):
  - Jika perusahaan memberikan manfaat (misal: upah, tunjangan, atau manfaat lain) lebih dari 12 bulan setelah periode kerja berakhir atau setelah karyawan tidak aktif, maka manfaat ini masuk ke dalam perhitungan PSAK 24/219 sebagai bagian dari OLTEB ([DOKUMEN 6], [DOKUMEN 20]).
  - Jika manfaat diberikan sampai karyawan pensiun, meninggal, atau berhenti, maka manfaat tersebut harus dicadangkan secara aktuaria.
 C. Kapan Sakit Berkepanjangan Masuk Perhitungan Aktuaria?
- Jika manfaat sakit berkepanjangan diberikan hingga karyawan pensiun/meninggal/berhenti (misal: perusahaan tetap membayar gaji penuh atau sebagian selama karyawan tidak mampu bekerja dalam jangka panjang), maka manfaat ini harus dihitung dalam valuasi aktuaria PSAK 24/219 ([DOKUMEN 2], [DOKUMEN 4], [DOKUMEN 20]).
- Jika manfaat hanya berupa cuti sakit biasa (short-term sick leave), tidak perlu dicadangkan secara aktuaria.
---
 2. Contoh Praktis
 Contoh 1: Cuti Sakit Biasa
- Perusahaan membayar gaji penuh selama karyawan sakit ≤14 hari.
- Perlakuan: Tidak dicadangkan dalam PSAK 24/219, diakui sebagai beban periode berjalan.
 Contoh 2: Sakit Berkepanjangan
- Perusahaan membayar 75% gaji kepada karyawan yang sakit lebih dari 6 bulan, hingga karyawan pensiun atau meninggal.
- Perlakuan: Manfaat ini harus dihitung dan dicadangkan dalam valuasi aktuaria PSAK 24/219 sebagai OLTEB.
---
 3. Referensi Standar dan Dokumen
- PSAK 24/219: Mengatur bahwa hanya manfaat jangka panjang (dibayar &gt;12 bulan setelah periode kerja berakhir) yang perlu dicadangkan secara aktuaria ([DOKUMEN 1], [DOKUMEN 6], [DOKUMEN 19], [DOKUMEN 20]).
- DOKUMEN 2, 4, 20: Menyebutkan manfaat sakit berkepanjangan sebagai bagian dari manfaat yang dapat masuk ke dalam cakupan PSAK 24 jika memenuhi kriteria jangka panjang.
- SAI 16: Standar Aktuaria Indonesia tentang Imbalan Kerja.
---
 4. Saran Implementasi
- Identifikasi Jenis Manfaat: Tinjau peraturan perusahaan/PKB untuk memastikan apakah manfaat sakit bersifat jangka pendek atau jangka panjang.
- Dokumentasi: Pastikan ada dokumentasi tertulis mengenai hak karyawan atas manfaat sakit berkepanjangan.
- Konsultasi dengan Aktuaris: Jika manfaat sakit berkepanjangan diberikan, konsultasikan dengan aktuaria untuk perhitungan cadangan sesuai PSAK 24/219.
- Klasifikasi Akuntansi: Pastikan manfaat diklasifikasikan dengan benar (short-term vs long-term) dalam laporan keuangan.
---
 5. Kesimpulan
- Upah/manfaat selama sakit biasa (jangka pendek) tidak masuk perhitungan PSAK 24/219 secara aktuaria.
- Manfaat sakit berkepanjangan (long-term sick leave/disability) yang diberikan lebih dari 12 bulan atau sampai pensiun/meninggal harus dicadangkan dalam valuasi aktuaria PSAK 24/219.
- Kunci utama: Lihat durasi dan sifat manfaat dalam peraturan perusahaan.
---
 Referensi Dokumen
- [DOKUMEN 1], [DOKUMEN 2], [DOKUMEN 4], [DOKUMEN 6], [DOKUMEN 10], [DOKUMEN 19], [DOKUMEN 20]
 Referensi Standar
- PSAK 24/219, SAI 16
---
Jika membutuhkan analisis lebih lanjut, siapkan dokumen peraturan perusahaan terkait manfaat sakit dan konsultasikan dengan aktuaria untuk penilaian yang tepat.</t>
  </si>
  <si>
    <t>Apakah indikator harus tetap ada kenaikan gaji? Dimana real nya tidak ada karena keuangan perusahaan sedang sulit / krisis</t>
  </si>
  <si>
    <t>No Note
 1. Penjelasan Terstruktur
 A. Prinsip Dasar Perhitungan Aktuaria PSAK 24
- Perhitungan aktuaria untuk imbalan kerja (PSAK 24) menggunakan pendekatan proyeksi manfaat di masa depan (projected unit credit method).
- Salah satu asumsi utama adalah tingkat kenaikan gaji (salary increase rate), karena manfaat pensiun/pesangon biasanya dihitung berdasarkan gaji terakhir atau gaji pada saat manfaat dibayarkan ([DOKUMEN 4], [DOKUMEN 5], [DOKUMEN 7], [DOKUMEN 17]).
 B. Apakah Harus Ada Asumsi Kenaikan Gaji?
- Secara prinsip, asumsi kenaikan gaji tetap harus ada dalam perhitungan aktuaria, meskipun secara real perusahaan tidak menaikkan gaji dalam jangka pendek karena krisis ([DOKUMEN 2], [DOKUMEN 6], [DOKUMEN 10], [DOKUMEN 16]).
- Alasannya: PSAK 24 menuntut proyeksi manfaat di masa depan, bukan hanya kondisi aktual saat ini. Asumsi ini mempertimbangkan kemungkinan kenaikan gaji dalam jangka panjang, termasuk jika kondisi ekonomi membaik ([DOKUMEN 6], [DOKUMEN 17]).
 C. Bagaimana Menentukan Besaran Asumsi Kenaikan Gaji?
- Faktor yang dipertimbangkan:
  - Rata-rata kenaikan gaji historis (3-5 tahun terakhir) ([DOKUMEN 15], [DOKUMEN 17])
  - Inflasi dan proyeksi ekonomi ([DOKUMEN 6], [DOKUMEN 17])
  - Kenaikan UMK/UMP di wilayah operasional ([DOKUMEN 3], [DOKUMEN 17])
  - Kebijakan perusahaan ke depan (surat resmi manajemen) ([DOKUMEN 3], [DOKUMEN 11])
  - Benchmark industri ([DOKUMEN 17])
- Jika perusahaan tidak memberikan data atau tidak ada kenaikan gaji aktual, aktuaria biasanya menggunakan tingkat inflasi nasional atau asumsi konservatif yang wajar ([DOKUMEN 10], [DOKUMEN 16]).
 D. Apakah Bisa Menggunakan Asumsi 0%?
- Secara teori, asumsi kenaikan gaji 0% bisa digunakan jika:
  - Ada bukti kuat dan dokumen resmi dari manajemen bahwa tidak akan ada kenaikan gaji dalam jangka panjang (bukan hanya tahun berjalan) ([DOKUMEN 11]).
  - Namun, praktik umum dan kehati-hatian aktuaria tetap menyarankan adanya kenaikan minimal (misal, mengikuti inflasi), karena kondisi ekonomi bisa berubah dan kebijakan gaji bisa disesuaikan di masa depan ([DOKUMEN 2], [DOKUMEN 6], [DOKUMEN 17]).
- Beberapa aktuaria dan auditor bahkan mensyaratkan minimal 5% atau mengikuti inflasi jika tidak ada data pasti ([DOKUMEN 2], [DOKUMEN 10]).
---
 2. Contoh Praktis
- Perusahaan A tidak menaikkan gaji sejak 2 tahun terakhir karena krisis. Namun, dalam perhitungan aktuaria, tetap digunakan asumsi kenaikan gaji 5% per tahun, mengikuti rata-rata inflasi dan praktik industri ([DOKUMEN 2], [DOKUMEN 6]).
- Perusahaan B ingin menggunakan asumsi kenaikan gaji 0%. Aktuaria meminta surat pernyataan resmi dari manajemen bahwa tidak ada rencana kenaikan gaji dalam 5 tahun ke depan ([DOKUMEN 11]). Jika tidak ada, aktuaria tetap menggunakan asumsi minimal (misal, inflasi).
---
 3. Referensi Standar dan Dokumen
- PSAK 24: Mengatur bahwa proyeksi manfaat harus mempertimbangkan kenaikan gaji di masa depan.
- [DOKUMEN 2]: "Bagaimanapun kondisi entitas perusahaan, perhitungan aktuaria tetap harus ada tingkat kenaikan gaji dengan minimal di angka 5%."
- [DOKUMEN 3], [DOKUMEN 6], [DOKUMEN 10], [DOKUMEN 11], [DOKUMEN 15], [DOKUMEN 16], [DOKUMEN 17]: Menjelaskan sumber data dan praktik penentuan asumsi kenaikan gaji.
- SAI 16: Standar Aktuaria Indonesia tentang Imbalan Kerja.
---
 4. Saran Implementasi Praktis
- Diskusikan dengan aktuaria dan auditor: Jika ingin menggunakan asumsi kenaikan gaji 0% atau di bawah rata-rata, siapkan dokumen pendukung (surat manajemen, kebijakan resmi).
- Review secara berkala: Jika kondisi ekonomi membaik, revisi asumsi kenaikan gaji sesuai perkembangan.
- Transparansi: Jelaskan dalam laporan keuangan alasan penggunaan asumsi kenaikan gaji yang lebih rendah dari biasanya.
---
 5. Kesimpulan
- Asumsi kenaikan gaji tetap harus ada dalam perhitungan aktuaria PSAK 24, meskipun secara real tidak ada kenaikan gaji saat ini.
- Asumsi ini bersifat jangka panjang dan mempertimbangkan kemungkinan perubahan ekonomi dan kebijakan di masa depan.
- Jika ingin menggunakan asumsi 0% atau sangat rendah, harus ada justifikasi dan dokumen resmi dari manajemen.
- Praktik umum tetap menggunakan minimal inflasi atau rata-rata historis sebagai dasar asumsi kenaikan gaji.
---
 Referensi Dokumen
- [DOKUMEN 2], [DOKUMEN 3], [DOKUMEN 6], [DOKUMEN 10], [DOKUMEN 11], [DOKUMEN 15], [DOKUMEN 16], [DOKUMEN 17]
 Referensi Standar
- PSAK 24, SAI 16
---
Jika membutuhkan bantuan untuk menentukan asumsi kenaikan gaji yang paling sesuai, konsultasikan dengan aktuaria dan siapkan dokumen pendukung kebijakan perusahaan.</t>
  </si>
  <si>
    <t>Mengapa CSC naik, namun interest cost malah menurun? Sedangkan tingkat diskonto dan gaji naik dari tahun lalu sebelum valuasi, apakah ada faktor lain yang mempengaruhi interest cost?</t>
  </si>
  <si>
    <t>Combine Support dengan Note
---
 1. Penjelasan Terstruktur
 A. Definisi Komponen Utama
- Current Service Cost (CSC):  
  Biaya jasa kini adalah nilai kini manfaat imbalan pasti yang diperoleh karyawan atas jasa yang diberikan selama periode berjalan ([DOKUMEN 6], [DOKUMEN 11], [DOKUMEN 18], [DOKUMEN 19]).
- Interest Cost (Biaya Bunga):  
  Biaya bunga adalah kenaikan kewajiban imbalan pasti karena waktu berjalan, dihitung dari nilai kini kewajiban pada awal periode dikalikan tingkat diskonto ([DOKUMEN 7], [DOKUMEN 12], [DOKUMEN 19]).
---
 B. Faktor yang Mempengaruhi CSC dan Interest Cost
 1. Faktor yang Mempengaruhi CSC:
- Jumlah karyawan aktif ([DOKUMEN 7], [DOKUMEN 16])
- Kenaikan gaji (aktual/asumsi) ([DOKUMEN 3], [DOKUMEN 8], [DOKUMEN 13], [DOKUMEN 14], [DOKUMEN 16])
- Perubahan manfaat atau kebijakan perusahaan
- Perubahan data demografis (usia, masa kerja, dll.)
 2. Faktor yang Mempengaruhi Interest Cost:
- Nilai kini kewajiban (PVDBO) awal periode ([DOKUMEN 7], [DOKUMEN 12])
- Tingkat diskonto (discount rate)
- Jumlah karyawan dan struktur usia
- Perubahan data karyawan (misal: banyak karyawan pensiun, resign, atau PHK di awal tahun)
---
 C. Mengapa CSC Naik, Tapi Interest Cost Turun?
 1. CSC Naik
- Kenaikan gaji (baik aktual maupun asumsi) akan meningkatkan estimasi manfaat masa depan, sehingga CSC naik ([DOKUMEN 3], [DOKUMEN 8], [DOKUMEN 13], [DOKUMEN 14], [DOKUMEN 16]).
- Pertumbuhan jumlah karyawan juga meningkatkan CSC ([DOKUMEN 3], [DOKUMEN 9], [DOKUMEN 16]).
- Perubahan manfaat (misal: peningkatan formula pensiun) juga bisa menaikkan CSC.
 2. Interest Cost Turun
Interest cost dihitung dari PVDBO awal periode × tingkat diskonto ([DOKUMEN 7], [DOKUMEN 12]).  
Interest cost bisa turun meskipun tingkat diskonto naik, jika:
- PVDBO awal periode turun signifikan (misal: banyak karyawan pensiun, resign, atau terjadi curtailment/settlement di awal tahun) ([DOKUMEN 2], [DOKUMEN 5], [DOKUMEN 6]).
- Pengurangan peserta (jumlah karyawan berkurang drastis) sehingga total kewajiban awal periode lebih kecil ([DOKUMEN 13], [DOKUMEN 16]).
- Perubahan manfaat yang menurunkan kewajiban (misal: pengurangan manfaat, perubahan vesting period) ([DOKUMEN 3], [DOKUMEN 5]).
- Curtailment effect: Pengurangan kewajiban akibat restrukturisasi, PHK massal, atau perubahan kebijakan ([DOKUMEN 2], [DOKUMEN 5], [DOKUMEN 6]).
 3. Dampak Tingkat Diskonto dan Gaji
- Tingkat diskonto naik → interest cost per satuan PVDBO naik, tapi jika PVDBO awal periode turun lebih besar, interest cost total tetap bisa turun ([DOKUMEN 4], [DOKUMEN 15]).
- Gaji naik → meningkatkan CSC (karena manfaat masa depan lebih besar), tapi tidak langsung mempengaruhi interest cost tahun berjalan.
---
 D. Faktor Lain yang Mempengaruhi Interest Cost
- Experience adjustment: Realisasi data aktual (misal: kenaikan gaji aktual, resign, mortalitas) berbeda dari asumsi ([DOKUMEN 10], [DOKUMEN 14]).
- Perubahan data demografis: Usia rata-rata karyawan, masa kerja, dan struktur populasi ([DOKUMEN 7], [DOKUMEN 13], [DOKUMEN 16]).
- Pengurangan manfaat atau perubahan kebijakan: Bisa menurunkan PVDBO awal periode ([DOKUMEN 3], [DOKUMEN 5]).
- Curtailment/settlement: Pengurangan kewajiban secara signifikan ([DOKUMEN 2], [DOKUMEN 5], [DOKUMEN 6]).
---
 2. Contoh Praktis
Contoh Kasus:
- Tahun lalu, perusahaan memiliki 1.000 karyawan, PVDBO awal periode Rp100 miliar, tingkat diskonto 7%.
- Tahun ini, 300 karyawan pensiun/PHK di awal tahun, PVDBO awal periode turun jadi Rp60 miliar, tingkat diskonto naik ke 7,5%.
- Interest cost tahun lalu: Rp100 miliar × 7% = Rp7 miliar.
- Interest cost tahun ini: Rp60 miliar × 7,5% = Rp4,5 miliar (turun, meski diskonto naik).
- CSC naik karena gaji dinaikkan 10% dan ada rekrutmen baru.
---
 3. Referensi Standar dan Dokumen
- PSAK 24: Penjelasan tentang komponen beban imbalan kerja dan asumsi aktuaria.
- [DOKUMEN 2], [DOKUMEN 3], [DOKUMEN 4], [DOKUMEN 5], [DOKUMEN 6], [DOKUMEN 7], [DOKUMEN 10], [DOKUMEN 13], [DOKUMEN 14], [DOKUMEN 16], [DOKUMEN 19]: Penjelasan faktor-faktor yang mempengaruhi CSC dan interest cost, serta contoh perhitungan dan dampak perubahan data/asumsi.
---
 4. Saran Implementasi
- Analisis perubahan data karyawan secara detail (jumlah, usia, masa kerja, status).
- Review perubahan manfaat atau kebijakan yang berdampak pada PVDBO awal periode.
- Diskusikan dengan aktuaria jika terjadi anomali pada interest cost atau CSC untuk memastikan tidak ada kesalahan data atau asumsi.
- Lakukan rekonsiliasi antara perubahan PVDBO, interest cost, dan CSC untuk transparansi laporan keuangan.
---
 5. Kesimpulan
- CSC naik karena kenaikan gaji, pertumbuhan karyawan, atau perubahan manfaat.
- Interest cost bisa turun meskipun tingkat diskonto dan gaji naik, jika PVDBO awal periode turun signifikan akibat pengurangan karyawan, curtailment, atau perubahan manfaat.
- Faktor utama interest cost adalah PVDBO awal periode dan tingkat diskonto.
- Perubahan data demografis, experience adjustment, dan kebijakan perusahaan sangat mempengaruhi kedua komponen ini.
---
Jika membutuhkan analisis lebih lanjut, lakukan review data karyawan dan manfaat, serta konsultasikan dengan aktuaria untuk penjelasan detail sesuai kondisi perusahaan.</t>
  </si>
  <si>
    <t>Kalau dalam ilmu aktuaria, uang duka seperti apa yang bisa masuk dan yang tidak masuk ke perhitungan aktuaria?</t>
  </si>
  <si>
    <t>Uang Duka</t>
  </si>
  <si>
    <t>No Note
 1. Penjelasan Terstruktur
 A. Definisi Uang Duka dalam Imbalan Kerja
- Uang duka adalah manfaat yang diberikan oleh perusahaan kepada karyawan atau ahli warisnya jika karyawan meninggal dunia selama masa kerja.
- Uang duka bisa berupa sejumlah uang tertentu, tambahan atas manfaat pesangon, atau manfaat lain yang diatur dalam peraturan perusahaan/PKB.
---
 B. Kriteria Uang Duka yang Masuk Perhitungan Aktuaria
Berdasarkan [DOKUMEN 2], [DOKUMEN 6], [DOKUMEN 12], [DOKUMEN 14], dan praktik PSAK 24:
 1. Uang Duka yang Masuk Perhitungan Aktuaria
- Uang duka yang diberikan kepada karyawan atau ahli warisnya jika karyawan meninggal dunia selama masih aktif bekerja.
- Manfaat ini merupakan bagian dari imbalan pasca kerja (post-employment benefits) atau imbalan kerja jangka panjang lainnya, tergantung pada ketentuan perusahaan.
- Contoh: Jika peraturan perusahaan menyatakan bahwa jika karyawan meninggal dunia, ahli waris berhak atas pesangon + uang duka Rp10 juta, maka uang duka ini harus dimasukkan dalam perhitungan aktuaria ([DOKUMEN 2], [DOKUMEN 6], [DOKUMEN 12]).
 2. Uang Duka yang Tidak Masuk Perhitungan Aktuaria
- Uang duka yang diberikan kepada keluarga karyawan (misal: orang tua, anak, atau pasangan karyawan yang meninggal, bukan karyawannya sendiri).
- Bantuan sosial atau santunan yang tidak terkait langsung dengan kematian karyawan aktif tidak perlu diperhitungkan dalam valuasi aktuaria ([DOKUMEN 2]).
---
 C. Perlakuan Aktuaria dan Akuntansi
- Uang duka untuk karyawan yang meninggal → dihitung sebagai bagian dari manfaat meninggal dunia dalam valuasi aktuaria (PVDBO).
- Uang duka untuk keluarga karyawan → dicatat sebagai biaya operasional tahun berjalan, bukan sebagai kewajiban aktuaria jangka panjang ([DOKUMEN 2], [DOKUMEN 11]).
---
 2. Contoh Praktis
 Contoh 1: Masuk Perhitungan Aktuaria
- Perusahaan A: Jika karyawan meninggal dunia, ahli waris mendapat pesangon sesuai UU + uang duka Rp10 juta.
- Perlakuan: Uang duka Rp10 juta dimasukkan dalam formula manfaat meninggal dunia dan dihitung dalam valuasi aktuaria ([DOKUMEN 12]).
 Contoh 2: Tidak Masuk Perhitungan Aktuaria
- Perusahaan B: Jika orang tua karyawan meninggal, karyawan mendapat santunan Rp5 juta.
- Perlakuan: Santunan ini tidak masuk perhitungan aktuaria, hanya dicatat sebagai biaya operasional saat terjadi ([DOKUMEN 2]).
---
 3. Referensi Standar dan Dokumen
- [DOKUMEN 2]: "Uang duka/santunan duka yang diberikan kepada karyawan karena merupakan bagian dari manfaat meninggal untuk karyawan (termasuk imbalan pasca kerja). Uang duka untuk keluarga karyawan tidak perlu diperhitungkan."
- [DOKUMEN 6]: Menyebutkan bantuan uang duka sebagai bagian manfaat PHK karena meninggal dunia.
- [DOKUMEN 12]: Formula manfaat meninggal dunia memasukkan komponen uang duka.
- [DOKUMEN 14]: Uang bantuan sebagai imbalan atas kondisi tertentu (misal meninggal dunia).
- PSAK 24/219: Mengatur bahwa manfaat yang diberikan akibat kematian karyawan aktif termasuk dalam kewajiban imbalan kerja.
- SAI 16: Standar Aktuaria Indonesia tentang Imbalan Kerja.
---
 4. Saran Implementasi Praktis
- Tinjau peraturan perusahaan/PKB: Pastikan jenis dan besaran uang duka yang diberikan jika karyawan meninggal dunia.
- Dokumentasikan kebijakan: Pisahkan antara uang duka untuk karyawan (masuk aktuaria) dan untuk keluarga karyawan (tidak masuk aktuaria).
- Konsultasikan dengan aktuaria: Pastikan seluruh manfaat meninggal dunia (termasuk uang duka) sudah masuk dalam formula valuasi.
- Transparansi laporan keuangan: Jelaskan dalam catatan atas laporan keuangan jika ada manfaat uang duka yang signifikan.
---
 5. Kesimpulan
- Uang duka yang diberikan kepada karyawan atau ahli warisnya jika karyawan meninggal dunia selama aktif kerja, WAJIB masuk dalam perhitungan aktuaria sebagai bagian manfaat meninggal dunia.
- Uang duka untuk keluarga karyawan (bukan karyawannya sendiri) TIDAK masuk perhitungan aktuaria, hanya sebagai biaya operasional.
- Kunci utama: Lihat kepada siapa manfaat diberikan dan dalam kondisi apa manfaat tersebut muncul.
---
 Referensi Dokumen
- [DOKUMEN 2], [DOKUMEN 6], [DOKUMEN 12], [DOKUMEN 14]
 Referensi Standar
- PSAK 24/219, SAI 16
---
Jika membutuhkan bantuan lebih lanjut, siapkan dokumen peraturan perusahaan terkait manfaat uang duka dan konsultasikan dengan aktuaria untuk penilaian yang tepat.</t>
  </si>
  <si>
    <t>Ada karyawan yang di bawah 31 tahun masuk ke dalam perhitungan employment benefit. 
Setau saya berdasarkan IFRIC update 2022, persyaratan umur karyawan tetap yang boleh diakui adalah di atas 31 tahun atau maksimal sisa masa kerja 24 tahun.
Umur pensiun di perusahaan saya 55 tahun, berarti yang masuk PEB (Provisional of Employment Benefit) seharusnya 31 tahun?</t>
  </si>
  <si>
    <t>IFRIC</t>
  </si>
  <si>
    <t>Combine Support dengan Note
---
 1. Penjelasan Teoritis dan Praktis
 A. Dasar Aturan IFRIC dan PSAK 24/219
- IFRIC (International Financial Reporting Interpretations Committee) dan PSAK 24/219 mengatur bahwa pengakuan kewajiban imbalan kerja (khususnya manfaat pensiun normal) baru dimulai pada usia tertentu, yaitu 24 tahun sebelum usia pensiun normal.
- Rumus Umum:  
  Usia Minimum = Usia Pensiun – 24 tahun  
  (Sumber: [DOKUMEN 6], [DOKUMEN 7], [DOKUMEN 8], [DOKUMEN 12], [DOKUMEN 15])
- Contoh:  
  Jika usia pensiun di perusahaan adalah 55 tahun, maka:  
  Usia Minimum = 55 – 24 = 31 tahun  
  Artinya, karyawan mulai diakui untuk manfaat pensiun normal sejak usia 31 tahun.
---
 B. Atribusi Manfaat Berdasarkan Usia
- Karyawan usia ≥ 31 tahun:  
  - Diakui penuh untuk seluruh manfaat: pensiun normal, meninggal dunia, sakit berkepanjangan, dan mengundurkan diri.  
    (Sumber: [DOKUMEN 2])
- Karyawan usia &lt; 31 tahun:  
  - Hanya diakui untuk manfaat meninggal dunia dan sakit berkepanjangan (bukan manfaat pensiun normal).  
    (Sumber: [DOKUMEN 2], [DOKUMEN 19])
- Alasan:  
  - IFRIC menganggap manfaat pensiun normal baru mulai "diatribusikan" (dialokasikan) sejak 24 tahun sebelum usia pensiun, karena sebelum itu kemungkinan besar karyawan belum memenuhi syarat untuk pensiun normal.
  - Namun, risiko meninggal dunia atau cacat bisa terjadi kapan saja, sehingga manfaat ini tetap dihitung untuk semua usia karyawan.
---
 C. Penerapan Praktis di Perusahaan
- Jika usia pensiun 55 tahun:  
  - Karyawan usia 31 tahun ke atas:  
    - Masuk perhitungan untuk seluruh manfaat (pensiun, meninggal, cacat, resign).
  - Karyawan usia di bawah 31 tahun:  
    - Hanya masuk perhitungan untuk manfaat meninggal dunia dan cacat (bukan pensiun normal).
    - Contoh: Karyawan usia 28 tahun hanya dihitung untuk manfaat meninggal dunia/cacat, bukan pensiun normal.
- Jika usia pensiun berbeda:  
  - Sesuaikan rumus: Usia Minimum = Usia Pensiun – 24 tahun.
  - Contoh: Usia pensiun 56 tahun → Usia minimum = 32 tahun ([DOKUMEN 7], [DOKUMEN 12]).
---
 D. Perbedaan PEB dan IPK
- PEB (Provisional Employment Benefit):  
  - Manfaat jangka pendek, belum pasti, timing selama masa kerja ([DOKUMEN 4]).
- IPK (Imbalan Pasca Kerja):  
  - Manfaat jangka panjang, timing setelah masa kerja berakhir, lebih pasti, dan membutuhkan aktuaria ([DOKUMEN 4]).
---
 2. Contoh Praktis
- Perusahaan dengan usia pensiun 55 tahun:
  - Karyawan A, usia 29 tahun:  
    - Masuk perhitungan: Manfaat meninggal dunia/cacat.
    - Tidak masuk: Manfaat pensiun normal.
  - Karyawan B, usia 33 tahun:  
    - Masuk perhitungan: Seluruh manfaat (pensiun, meninggal, cacat, resign).
---
 3. Referensi Dokumen
- [DOKUMEN 2]: "Di atas 31 tahun: mencakup manfaat pensiun normal, meninggal dunia, sakit berkepanjangan, dan mengundurkan diri. Di bawah 31 tahun: hanya untuk manfaat meninggal dunia, sakit berkepanjangan."
- [DOKUMEN 6], [DOKUMEN 7], [DOKUMEN 8], [DOKUMEN 12], [DOKUMEN 15]: Menjelaskan rumus usia minimum (Usia Pensiun – 24 tahun) dan penerapan IFRIC.
- [DOKUMEN 19]: Menyebutkan manfaat yang dihitung untuk karyawan tetap dan kontrak.
---
 4. Saran Implementasi
- Pastikan data usia pensiun dan tanggal lahir karyawan akurat.
- Gunakan rumus IFRIC: Usia Minimum = Usia Pensiun – 24 tahun.
- Pisahkan perhitungan manfaat:  
  - Untuk karyawan di bawah usia minimum, hanya hitung manfaat meninggal dunia/cacat.
  - Untuk karyawan di atas usia minimum, hitung seluruh manfaat.
- Dokumentasikan kebijakan ini dalam laporan aktuaria dan konsultasikan dengan auditor jika ada perubahan usia pensiun atau kebijakan manfaat.
---
 5. Kesimpulan
- Benar: Untuk usia pensiun 55 tahun, karyawan mulai diakui untuk manfaat pensiun normal sejak usia 31 tahun.
- Karyawan di bawah 31 tahun tetap masuk perhitungan, tetapi hanya untuk manfaat meninggal dunia dan cacat, bukan pensiun normal.
- Rumus ini mengikuti standar IFRIC dan PSAK 24/219, serta praktik aktuaria di Indonesia.
---
Jika membutuhkan template perhitungan atau simulasi, konsultasikan dengan aktuaria perusahaan Anda untuk memastikan seluruh manfaat dihitung sesuai standar terbaru.</t>
  </si>
  <si>
    <t>Kenapa angka perhitungan kami besar sedangkan karyawan kami semuanya PKWT (kontrak)? bukannya kontrak hanya 1x gaji ya kompensasinya</t>
  </si>
  <si>
    <t>Karyawan Kontrak</t>
  </si>
  <si>
    <t>No Note
 1. Penjelasan Teoritis dan Praktis
 A. Dasar Hukum dan Praktik Kompensasi PKWT
- Regulasi utama:  
  - PP No. 35 Tahun 2021 (turunan UUCK/Omnibus Law) mengatur bahwa karyawan PKWT (kontrak) berhak atas kompensasi setelah masa kerja berakhir.
  - Besaran kompensasi:  
    - 1 bulan upah untuk setiap 12 bulan kerja secara terus-menerus.
    - Jika masa kerja &lt;12 bulan, dihitung secara proporsional:  
      Kompensasi = (masa kerja/12) × 1 bulan upah  
      ([DOKUMEN 5], [DOKUMEN 6], [DOKUMEN 13])
 B. Mengapa Nilai Perhitungan Bisa Besar?
 1. Jumlah Karyawan dan Masa Kerja
- Jika perusahaan memiliki banyak karyawan PKWT dan/atau masa kerja mereka panjang (mendekati atau lebih dari 1 tahun), total kewajiban akan besar karena:
  - Setiap karyawan berhak atas kompensasi sesuai masa kerja.
  - Jika banyak karyawan dengan masa kerja &gt;1 tahun, akumulasi kompensasi menjadi signifikan.
  - Contoh: 100 karyawan × 1 bulan gaji = 100 bulan gaji sebagai kewajiban.
 2. Gaji yang Digunakan
- Gaji yang digunakan adalah gaji pokok + tunjangan tetap (bruto), sesuai ketentuan ([DOKUMEN 16]).
- Jika gaji rata-rata tinggi, otomatis nilai kewajiban juga tinggi.
 3. Metode Perhitungan Aktuaria
- Metode Projected Unit Credit (PUC):  
  - Kewajiban dihitung dengan mendiskontokan manfaat yang akan dibayarkan di masa depan ke nilai saat ini.
  - Untuk PKWT, karena jatuh tempo manfaat biasanya singkat (kontrak 1-2 tahun), cadangan dibentuk penuh sekaligus atau hampir penuh di awal ([DOKUMEN 15]).
  - Jika valuasi dilakukan di tengah masa kontrak, kewajiban yang diakui adalah proporsi masa kerja yang sudah berjalan.
 4. Perbedaan antara Realisasi dan Akumulasi
- Kompensasi 1x gaji adalah hak per karyawan per kontrak, tetapi total kewajiban adalah penjumlahan seluruh hak karyawan yang sudah berjalan hingga tanggal valuasi.
- Jika ada perpanjangan kontrak atau kontrak berjalan bertahun-tahun, kewajiban bertambah sesuai masa kerja kumulatif ([DOKUMEN 4], [DOKUMEN 5], [DOKUMEN 6]).
 5. Asumsi Aktuaria
- Asumsi diskonto dan probabilitas keluar juga mempengaruhi nilai kini kewajiban ([DOKUMEN 7]).
- Jika asumsi keluar rendah (mayoritas karyawan bertahan hingga akhir kontrak), kewajiban lebih besar.
---
 2. Contoh Praktis
 Contoh 1: Banyak Karyawan, Masa Kerja Panjang
- 50 karyawan PKWT, masing-masing gaji Rp5 juta, masa kerja 2 tahun.
- Kompensasi per karyawan = 2/12 × 1 bulan gaji × 2 tahun = 2 bulan gaji = Rp10 juta.
- Total kewajiban = 50 × Rp10 juta = Rp500 juta.
 Contoh 2: Kontrak Bertingkat
- Jika kontrak diperpanjang beberapa kali, masa kerja kumulatif dihitung, sehingga kompensasi bisa lebih dari 1x gaji ([DOKUMEN 5], [DOKUMEN 6]).
---
 3. Referensi Dokumen
- [DOKUMEN 5]: Rumus kompensasi PKWT: (masa kerja/12) × 1 bulan upah.
- [DOKUMEN 6]: Kompensasi sesuai masa kerja, bisa lebih dari 1x gaji jika masa kerja &gt;1 tahun.
- [DOKUMEN 13]: Penjelasan hak kompensasi PKWT sesuai PP No. 35 Tahun 2021.
- [DOKUMEN 15]: Penjelasan bahwa cadangan PKWT dibentuk penuh sekaligus, sehingga nilainya bisa besar di awal.
- [DOKUMEN 7]: Penjelasan penggunaan metode PUC dan asumsi diskonto/probabilitas keluar.
- [DOKUMEN 16]: Gaji yang digunakan adalah gaji pokok + tunjangan tetap (bruto).
---
 4. Saran Implementasi
- Pastikan data masa kerja dan gaji karyawan PKWT akurat.
- Hitung masa kerja kumulatif jika ada perpanjangan kontrak.
- Review asumsi aktuaria (diskonto, probabilitas keluar) agar sesuai dengan kondisi perusahaan.
- Komunikasikan ke manajemen bahwa total kewajiban adalah akumulasi seluruh hak karyawan, bukan hanya 1x gaji per karyawan.
---
 5. Kesimpulan
- Kompensasi PKWT memang 1x gaji per 12 bulan masa kerja, tetapi total kewajiban adalah penjumlahan seluruh hak karyawan sesuai masa kerja masing-masing.
- Jika banyak karyawan atau masa kerja panjang, nilai kewajiban bisa besar.
- Metode aktuaria (PUC) dan asumsi yang digunakan juga mempengaruhi besaran kewajiban.
- Pastikan data dan asumsi sudah benar agar hasil perhitungan mencerminkan kewajiban yang sebenarnya.
---
Jika masih ada pertanyaan atau ingin simulasi lebih detail, konsultasikan dengan aktuaria perusahaan Anda.</t>
  </si>
  <si>
    <t>apakah nilai perhitungan karyawan tetap selalu lebih besar dibandingkan perhitungan karyawan kontrak?</t>
  </si>
  <si>
    <t>Combine Support dengan Note
Apakah nilai perhitungan karyawan tetap selalu lebih besar dibandingkan perhitungan karyawan kontrak?
---
 1. Penjelasan Teoritis
Secara umum, nilai perhitungan yang dimaksud di sini biasanya merujuk pada kewajiban imbalan kerja (seperti pesangon, manfaat pensiun, atau manfaat pasca-kerja lainnya) yang dihitung oleh aktuaria sesuai dengan standar akuntansi (misal PSAK 24 di Indonesia atau IAS 19 secara internasional).
 Faktor Penentu Nilai Perhitungan:
- Masa Kerja: Karyawan tetap umumnya memiliki masa kerja lebih panjang dibandingkan karyawan kontrak.
- Hak Imbalan: Karyawan tetap biasanya berhak atas lebih banyak jenis imbalan (misal: pensiun, pesangon, cuti panjang) dibandingkan karyawan kontrak yang haknya terbatas sesuai kontrak kerja.
- Peraturan Perusahaan/UU: Undang-undang Ketenagakerjaan dan kebijakan perusahaan sering kali membedakan hak antara karyawan tetap dan kontrak.
 Implikasi Aktuaria:
- Karyawan Tetap: Karena masa kerja lebih panjang dan hak lebih banyak, nilai perhitungan (present value of benefit obligation) cenderung lebih besar.
- Karyawan Kontrak: Masa kerja terbatas, hak lebih sedikit, sehingga nilai perhitungan biasanya lebih kecil.
---
 2. Contoh Praktis
Contoh Sederhana:
- Karyawan Tetap:  
  - Masa kerja: 10 tahun  
  - Hak: Pesangon, pensiun, cuti panjang  
  - Nilai perhitungan: Rp 100 juta
- Karyawan Kontrak:  
  - Masa kerja: 2 tahun  
  - Hak: Hanya pesangon sesuai kontrak  
  - Nilai perhitungan: Rp 10 juta
Kesimpulan: Dalam contoh ini, nilai perhitungan karyawan tetap memang lebih besar.
---
 3. Referensi Standar Aktuaria
- PSAK 24 (Imbalan Kerja):  
  Menyatakan bahwa kewajiban imbalan kerja dihitung berdasarkan masa kerja, hak yang diperoleh, dan ketentuan peraturan yang berlaku.
- ISAK 15 (PSAK 24):  
  Menjelaskan perlakuan imbalan kerja untuk karyawan kontrak dan tetap.
- Standar Aktuaria Indonesia (SAI):  
  SAI 16 tentang Penilaian Imbalan Kerja mengatur prinsip-prinsip aktuaria dalam menghitung kewajiban imbalan kerja.
---
 4. Saran Implementasi
- Identifikasi Status Karyawan: Pastikan data karyawan tetap dan kontrak terpisah dengan jelas.
- Pahami Hak dan Kewajiban: Tinjau peraturan perusahaan dan UU Ketenagakerjaan terkait hak masing-masing jenis karyawan.
- Gunakan Metode Aktuaria yang Tepat: Terapkan metode Projected Unit Credit (PUC) sesuai PSAK 24 untuk menghitung kewajiban.
- Dokumentasi: Catat asumsi dan parameter yang digunakan dalam perhitungan untuk audit dan review.
---
 Kesimpulan
Nilai perhitungan karyawan tetap tidak selalu lebih besar dibandingkan karyawan kontrak, namun dalam praktiknya, umumnya memang lebih besar karena masa kerja yang lebih panjang dan hak imbalan yang lebih banyak. Namun, jika karyawan kontrak memiliki masa kerja yang sangat panjang atau hak imbalan yang setara (misal: kontrak jangka panjang dengan hak penuh), nilai perhitungannya bisa saja mendekati atau bahkan melebihi karyawan tetap.
Referensi:  
- PSAK 24: Imbalan Kerja  
- SAI 16: Penilaian Imbalan Kerja  
- UU Ketenagakerjaan No. 13 Tahun 2003
---
Jika membutuhkan template perhitungan atau contoh implementasi lebih detail, silakan informasikan kebutuhan spesifik Anda.</t>
  </si>
  <si>
    <t>berikan contoh perhitungan karyawan kontrak untuk kontrak &gt; 1 tahun</t>
  </si>
  <si>
    <t>No Note
---
 1. Penjelasan Teoritis
 a. Dasar Hukum dan Standar
- PSAK 24 (Imbalan Kerja): Mengatur pengakuan dan pengukuran kewajiban imbalan kerja, baik untuk karyawan tetap maupun kontrak.
- UU Ketenagakerjaan No. 13 Tahun 2003: Mengatur hak-hak karyawan kontrak (Perjanjian Kerja Waktu Tertentu/PKWT), termasuk hak atas kompensasi setelah kontrak berakhir.
- SAI 16: Mengatur prinsip aktuaria dalam penilaian imbalan kerja.
 b. Hak Imbalan Karyawan Kontrak
Untuk karyawan kontrak (PKWT) dengan masa kontrak lebih dari 1 tahun, hak imbalan umumnya berupa:
- Uang kompensasi sesuai Pasal 15A PP No. 35 Tahun 2021:  
  Karyawan PKWT yang masa kerjanya minimal 1 bulan berhak atas uang kompensasi sebesar 1 bulan upah untuk setiap 12 bulan masa kerja secara proporsional.
---
 2. Contoh Praktis Perhitungan
 Studi Kasus:
- Nama: Budi
- Status: Karyawan Kontrak (PKWT)
- Masa Kontrak: 2 tahun (24 bulan)
- Upah per bulan: Rp 5.000.000
- Tanggal mulai: 1 Januari 2022
- Tanggal berakhir: 31 Desember 2023
 Langkah Perhitungan:
 a. Menentukan Hak Kompensasi
Sesuai PP No. 35 Tahun 2021:
&gt; "Uang kompensasi diberikan sebesar 1 bulan upah untuk setiap 12 bulan masa kerja secara proporsional."
 b. Rumus Perhitungan
\[
\text{Uang Kompensasi} = \left(\frac{\text{Masa Kerja (bulan)}}{12}\right) \times \text{Upah 1 bulan}
\]
 c. Hitung
\[
\text{Uang Kompensasi} = \left(\frac{24}{12}\right) \times Rp 5.000.000 = 2 \times Rp 5.000.000 = Rp 10.000.000
\]
 d. Catatan
- Jika masa kerja tidak bulat (misal 18 bulan), maka:
  \[
  \text{Uang Kompensasi} = \left(\frac{18}{12}\right) \times Rp 5.000.000 = 1,5 \times Rp 5.000.000 = Rp 7.500.000
  \]
---
 3. Referensi Standar Aktuaria
- PSAK 24: Imbalan kerja jangka pendek dan jangka panjang harus diakui sesuai masa kerja dan hak yang timbul.
- PP No. 35 Tahun 2021 Pasal 15A: Mengatur kompensasi PKWT.
- SAI 16: Penilaian imbalan kerja harus mempertimbangkan masa kerja dan hak aktual karyawan.
---
 4. Saran Implementasi
- Data Akurat: Pastikan data masa kerja dan upah karyawan kontrak tercatat dengan baik.
- Perhitungan Proporsional: Untuk masa kerja tidak bulat tahun, gunakan perhitungan proporsional.
- Dokumentasi: Simpan hasil perhitungan dan dasar hukum sebagai bukti kepatuhan.
- Review Berkala: Lakukan review berkala terhadap kontrak dan hak imbalan sesuai perubahan regulasi.
---
 Kesimpulan
Karyawan kontrak dengan masa kontrak lebih dari 1 tahun berhak atas uang kompensasi sesuai masa kerja proporsional, dihitung berdasarkan upah bulanan. Perhitungan ini wajib dilakukan dan diakui sebagai kewajiban perusahaan sesuai PSAK 24 dan peraturan ketenagakerjaan yang berlaku.
---
Referensi:
- PSAK 24: Imbalan Kerja  
- PP No. 35 Tahun 2021  
- SAI 16: Penilaian Imbalan Kerja  
- UU Ketenagakerjaan No. 13 Tahun 2003
---
Jika membutuhkan template Excel atau simulasi lebih lanjut, silakan informasikan kebutuhan spesifik Anda.</t>
  </si>
  <si>
    <t>perbandingan uuck dan uuk</t>
  </si>
  <si>
    <t>UUK, UUCK</t>
  </si>
  <si>
    <t>No Note
---
 1. Penjelasan Teoritis
 a. Definisi dan Ruang Lingkup
- UUK (Undang-Undang Ketenagakerjaan)
  - Merujuk pada UU No. 13 Tahun 2003 tentang Ketenagakerjaan.
  - Mengatur hubungan kerja, hak dan kewajiban pekerja dan pengusaha, termasuk pengupahan, PHK, pesangon, dan imbalan kerja lainnya.
- UUCK (Undang-Undang Cipta Kerja)
  - Merujuk pada UU No. 11 Tahun 2020 tentang Cipta Kerja beserta perubahannya (termasuk Perppu No. 2 Tahun 2022).
  - Merupakan omnibus law yang mengubah, menghapus, atau menambah sejumlah ketentuan dalam UUK dan peraturan ketenagakerjaan lainnya.
  - Bertujuan untuk meningkatkan investasi dan penciptaan lapangan kerja, dengan penyesuaian regulasi ketenagakerjaan.
---
 b. Perbandingan Pokok-Pokok Pengaturan
| Aspek                  | UUK (UU 13/2003)                | UUCK (UU 11/2020 &amp; turunannya)         |
|------------------------|----------------------------------|----------------------------------------|
| Status Karyawan    | Tetap &amp; kontrak diatur, PKWT maksimal 2 tahun + 1x perpanjangan | PKWT lebih fleksibel, masa kontrak dapat diatur lebih panjang sesuai jenis pekerjaan |
| Pesangon PHK       | Rumus pesangon lebih besar, komponen penghargaan masa kerja dan penggantian hak | Rumus pesangon disederhanakan, nilai pesangon umumnya lebih kecil, beberapa komponen dihapus/dikurangi |
| Kompensasi PKWT    | Tidak diatur secara eksplisit    | Ada kompensasi PKWT (1 bulan upah per 12 bulan masa kerja, proporsional) |
| Outsourcing        | Dibatasi jenis pekerjaan tertentu| Lebih fleksibel, outsourcing dapat diterapkan lebih luas |
| Cuti &amp; Hak Lain    | Diatur secara rinci             | Umumnya tetap, namun beberapa ketentuan dapat diatur lebih fleksibel melalui Perjanjian Kerja/PP/PKB |
| Sanksi &amp; Pengawasan| Sanksi administratif &amp; pidana    | Lebih banyak sanksi administratif, penegakan hukum lebih terstruktur |
---
 2. Contoh Praktis dalam Konteks Aktuaria
 a. Perhitungan Pesangon
- UUK:  
  Misal, karyawan tetap dengan masa kerja 10 tahun, upah Rp 5 juta/bulan, pesangon bisa mencapai 9 bulan upah + penghargaan masa kerja 4 bulan upah + penggantian hak.
- UUCK:  
  Dengan rumus baru, pesangon maksimal 8 bulan upah + penghargaan masa kerja 2 bulan upah, penggantian hak lebih terbatas.
 b. Kompensasi PKWT
- UUK:  
  Tidak ada kompensasi khusus untuk PKWT yang habis masa kontraknya.
- UUCK:  
  Ada kompensasi wajib untuk PKWT, dihitung proporsional sesuai masa kerja.
---
 3. Referensi Standar Aktuaria
- PSAK 24 (Imbalan Kerja):  
  Kewajiban imbalan kerja harus dihitung sesuai hak aktual karyawan berdasarkan peraturan yang berlaku (UUK atau UUCK).
- SAI 16:  
  Penilaian imbalan kerja harus memperhatikan perubahan regulasi ketenagakerjaan yang berdampak pada hak dan kewajiban perusahaan.
---
 4. Saran Implementasi Praktis
- Update Kebijakan Perusahaan:  
  Pastikan kebijakan HR dan payroll sudah menyesuaikan dengan ketentuan terbaru UUCK, terutama terkait pesangon dan kompensasi PKWT.
- Review Perhitungan Aktuaria:  
  Lakukan penyesuaian asumsi dan parameter aktuaria (misal: rumus pesangon, masa kerja, hak imbalan) sesuai regulasi terbaru.
- Dokumentasi &amp; Sosialisasi:  
  Dokumentasikan perubahan dan lakukan sosialisasi kepada karyawan agar tidak terjadi dispute di kemudian hari.
- Konsultasi dengan Aktuaris:  
  Untuk perhitungan imbalan kerja (liabilitas PSAK 24), konsultasikan dengan aktuaria agar sesuai dengan standar dan regulasi terbaru.
---
 5. Kesimpulan
UUCK membawa perubahan signifikan terhadap ketentuan UUK, terutama dalam hal fleksibilitas hubungan kerja, pengurangan nilai pesangon, dan pengenalan kompensasi PKWT. Dalam praktik aktuaria, perubahan ini berdampak pada penurunan nilai kewajiban imbalan kerja yang harus diakui perusahaan, serta perlunya penyesuaian metode dan asumsi perhitungan sesuai regulasi terbaru.
---
Referensi:
- UU No. 13 Tahun 2003 tentang Ketenagakerjaan (UUK)
- UU No. 11 Tahun 2020 tentang Cipta Kerja (UUCK) &amp; Perppu No. 2 Tahun 2022
- PP No. 35 Tahun 2021 tentang PKWT, Alih Daya, Waktu Kerja, dan PHK
- PSAK 24: Imbalan Kerja
- SAI 16: Penilaian Imbalan Kerja
---
Jika membutuhkan simulasi perhitungan atau template implementasi sesuai UUCK, silakan informasikan kebutuhan spesifik Anda.</t>
  </si>
  <si>
    <t>berikan saya tabel manfaat yang diatur sesuai UUCK untuk perhitungan IPK</t>
  </si>
  <si>
    <t>UUCK</t>
  </si>
  <si>
    <t>STEP/tables/benefit_factors_uuck</t>
  </si>
  <si>
    <t>No Note
---
 1. Penjelasan Teoritis
 a. Dasar Hukum
- UUCK (UU No. 11 Tahun 2020 &amp; Perppu No. 2 Tahun 2022)
- PP No. 35 Tahun 2021 tentang PKWT, Alih Daya, Waktu Kerja, dan PHK
- PSAK 24: Standar akuntansi untuk pengakuan dan pengukuran imbalan kerja
 b. Manfaat Imbalan Pasca Kerja (IPK)
Manfaat utama yang diatur dan dihitung dalam IPK sesuai UUCK adalah:
- Uang Pesangon
- Uang Penghargaan Masa Kerja (UPMK)
- Uang Penggantian Hak (UPH)
---
 2. Tabel Manfaat Pesangon &amp; Penghargaan Masa Kerja (Sesuai UUCK/PP 35/2021)
 A. Uang Pesangon (UP)
| Masa Kerja (Tahun) | Pesangon (Bulan Upah) |
|--------------------|-----------------------|
| &lt; 1                | 1                     |
| ≥ 1 – &lt; 2          | 2                     |
| ≥ 2 – &lt; 3          | 3                     |
| ≥ 3 – &lt; 4          | 4                     |
| ≥ 4 – &lt; 5          | 5                     |
| ≥ 5 – &lt; 6          | 6                     |
| ≥ 6 – &lt; 7          | 7                     |
| ≥ 7 – &lt; 8          | 8                     |
| ≥ 8                | 9                     |
 B. Uang Penghargaan Masa Kerja (UPMK)
| Masa Kerja (Tahun) | UPMK (Bulan Upah)     |
|--------------------|-----------------------|
| ≥ 3 – &lt; 6          | 2                     |
| ≥ 6 – &lt; 9          | 3                     |
| ≥ 9 – &lt; 12         | 4                     |
| ≥ 12 – &lt; 15        | 5                     |
| ≥ 15 – &lt; 18        | 6                     |
| ≥ 18 – &lt; 21        | 7                     |
| ≥ 21 – &lt; 24        | 8                     |
| ≥ 24               | 10                    |
 C. Uang Penggantian Hak (UPH)
- UPH diberikan sesuai hak-hak yang belum diambil, misal: cuti tahunan yang belum diambil, biaya pulang, dsb.  
- Besaran UPH tidak berbentuk tabel, melainkan sesuai hak aktual karyawan.
---
 3. Catatan Penting (Sesuai UUCK/PP 35/2021)
- Faktor Pengali:  
  Dalam beberapa alasan PHK, pesangon dan UPMK diberikan dengan faktor pengali tertentu (misal 0,5x, 1x, 2x, dst).  
  Contoh: PHK karena efisiensi, perusahaan tutup, atau alasan lain, faktor pengali berbeda.
- Upah yang Digunakan:  
  Upah terakhir terdiri dari upah pokok + tunjangan tetap.
- Kompensasi PKWT:  
  Untuk karyawan kontrak (PKWT), diberikan kompensasi 1 bulan upah per 12 bulan masa kerja secara proporsional (bukan pesangon).
---
 4. Contoh Praktis Perhitungan
Karyawan Tetap, Masa Kerja 7 tahun, Upah Terakhir Rp 6.000.000/bulan, PHK karena efisiensi (faktor pengali 0,75x):
- Pesangon: 7 bulan x Rp 6.000.000 = Rp 42.000.000
- UPMK: 3 bulan x Rp 6.000.000 = Rp 18.000.000
- UPH: Misal Rp 2.000.000
- Total Manfaat:  
  (Pesangon + UPMK) x 0,75 + UPH  
  = (Rp 42.000.000 + Rp 18.000.000) x 0,75 + Rp 2.000.000  
  = Rp 60.000.000 x 0,75 + Rp 2.000.000  
  = Rp 45.000.000 + Rp 2.000.000  
  = Rp 47.000.000
---
 5. Referensi Standar Aktuaria
- PSAK 24: Imbalan kerja harus dihitung sesuai hak aktual berdasarkan peraturan terbaru (UUCK &amp; PP 35/2021).
- SAI 16: Penilaian imbalan kerja wajib mengikuti perubahan regulasi ketenagakerjaan.
---
 6. Saran Implementasi
- Update Tabel Manfaat: Pastikan tabel manfaat di sistem HR/payroll sudah sesuai UUCK/PP 35/2021.
- Perhatikan Faktor Pengali: Selalu cek alasan PHK untuk menentukan faktor pengali yang tepat.
- Dokumentasi: Simpan dasar hukum dan hasil perhitungan untuk audit dan kepatuhan.
- Konsultasi Aktuaris: Untuk perhitungan liabilitas PSAK 24, gunakan asumsi dan tabel manfaat terbaru.
---
 Kesimpulan
Tabel manfaat pesangon dan penghargaan masa kerja sesuai UUCK/PP 35/2021 harus digunakan dalam perhitungan IPK (Imbalan Pasca Kerja). Pastikan selalu memperhatikan faktor pengali sesuai alasan PHK dan hak aktual karyawan.
---
Referensi:
- UU No. 11 Tahun 2020 (UUCK)
- Perppu No. 2 Tahun 2022
- PP No. 35 Tahun 2021
- PSAK 24
- SAI 16
---
Jika membutuhkan template Excel atau simulasi perhitungan sesuai UUCK, silakan informasikan kebutuhan spesifik Anda.</t>
  </si>
  <si>
    <t>berikan saya tabel manfaat yang diatur sesuai UUK untuk perhitungan PEB</t>
  </si>
  <si>
    <t>UUK</t>
  </si>
  <si>
    <t>PANDUAN/02_teknis_perhitungan</t>
  </si>
  <si>
    <t>Combine Support dengan Note
---
 1. Penjelasan Teoritis
 a. Dasar Hukum
- UU No. 13 Tahun 2003 tentang Ketenagakerjaan (UUK)
- PP No. 78 Tahun 2015 (tentang Pengupahan, sebagai pelengkap)
- PSAK 24: Standar akuntansi untuk pengakuan dan pengukuran imbalan kerja
 b. Manfaat Imbalan Pasca Kerja (PEB)
Manfaat utama yang diatur dan dihitung dalam PEB sesuai UUK adalah:
- Uang Pesangon
- Uang Penghargaan Masa Kerja (UPMK)
- Uang Penggantian Hak (UPH)
---
 2. Tabel Manfaat Pesangon &amp; Penghargaan Masa Kerja (Sesuai UUK/UU 13/2003)
 A. Uang Pesangon (UP)
| Masa Kerja (Tahun) | Pesangon (Bulan Upah) |
|--------------------|-----------------------|
| &lt; 1                | 1                     |
| ≥ 1 – &lt; 2          | 2                     |
| ≥ 2 – &lt; 3          | 3                     |
| ≥ 3 – &lt; 4          | 4                     |
| ≥ 4 – &lt; 5          | 5                     |
| ≥ 5 – &lt; 6          | 6                     |
| ≥ 6 – &lt; 7          | 7                     |
| ≥ 7 – &lt; 8          | 8                     |
| ≥ 8                | 9                     |
 B. Uang Penghargaan Masa Kerja (UPMK)
| Masa Kerja (Tahun) | UPMK (Bulan Upah)     |
|--------------------|-----------------------|
| ≥ 3 – &lt; 6          | 2                     |
| ≥ 6 – &lt; 9          | 3                     |
| ≥ 9 – &lt; 12         | 4                     |
| ≥ 12 – &lt; 15        | 5                     |
| ≥ 15 – &lt; 18        | 6                     |
| ≥ 18 – &lt; 21        | 7                     |
| ≥ 21 – &lt; 24        | 8                     |
| ≥ 24               | 10                    |
 C. Uang Penggantian Hak (UPH)
- UPH diberikan untuk hak-hak yang belum diambil, seperti cuti tahunan yang belum diambil, biaya pulang, dsb.
- Besaran UPH tidak berbentuk tabel, melainkan sesuai hak aktual karyawan.
---
 3. Catatan Penting (Sesuai UUK/UU 13/2003)
- Faktor Pengali:  
  Dalam beberapa alasan PHK, pesangon dan UPMK diberikan dengan faktor pengali tertentu (misal 1x, 2x, 0,5x, dst) sesuai Pasal 156 dan 162 UUK.
- Upah yang Digunakan:  
  Upah terakhir terdiri dari upah pokok + tunjangan tetap.
- Tidak Ada Kompensasi PKWT:  
  Dalam UUK, karyawan kontrak (PKWT) yang habis masa kontraknya tidak mendapatkan kompensasi seperti di UUCK.
---
 4. Contoh Praktis Perhitungan
Karyawan Tetap, Masa Kerja 10 tahun, Upah Terakhir Rp 7.000.000/bulan, PHK karena efisiensi (faktor pengali 1x):
- Pesangon: 8 bulan x Rp 7.000.000 = Rp 56.000.000
- UPMK: 4 bulan x Rp 7.000.000 = Rp 28.000.000
- UPH: Misal Rp 3.000.000
- Total Manfaat:  
  (Pesangon + UPMK) x 1 + UPH  
  = (Rp 56.000.000 + Rp 28.000.000) + Rp 3.000.000  
  = Rp 84.000.000 + Rp 3.000.000  
  = Rp 87.000.000
---
 5. Referensi Standar Aktuaria
- PSAK 24: Imbalan kerja harus dihitung sesuai hak aktual berdasarkan peraturan yang berlaku (UUK).
- SAI 16: Penilaian imbalan kerja wajib mengikuti regulasi ketenagakerjaan yang berlaku.
---
 6. Saran Implementasi
- Pastikan Tabel Manfaat: Gunakan tabel manfaat sesuai UUK untuk perhitungan liabilitas IPK jika perusahaan masih mengacu pada UUK.
- Perhatikan Faktor Pengali: Selalu cek alasan PHK untuk menentukan faktor pengali yang tepat.
- Dokumentasi: Simpan dasar hukum dan hasil perhitungan untuk audit dan kepatuhan.
- Konsultasi Aktuaris: Untuk perhitungan liabilitas PSAK 24, gunakan asumsi dan tabel manfaat yang sesuai dengan kebijakan perusahaan.
---
 Kesimpulan
Tabel manfaat pesangon dan penghargaan masa kerja sesuai UUK/UU 13/2003 harus digunakan dalam perhitungan PEB (Pesangon, Penghargaan Masa Kerja, dan Penggantian Hak) jika perusahaan masih mengacu pada regulasi ini. Pastikan selalu memperhatikan faktor pengali sesuai alasan PHK dan hak aktual karyawan.
---
Referensi:
- UU No. 13 Tahun 2003 (UUK)
- PP No. 78 Tahun 2015
- PSAK 24
- SAI 16
---
Jika membutuhkan template Excel atau simulasi perhitungan sesuai UUK, silakan informasikan kebutuhan spesifik Anda.</t>
  </si>
  <si>
    <t>berikan perbedaan rumusan uuck dan uuk dalam perhitungan manfaat dalam IPK</t>
  </si>
  <si>
    <t>No Note
---
 1. Penjelasan Teoritis
 a. Dasar Hukum
- UUK: UU No. 13 Tahun 2003 tentang Ketenagakerjaan
- UUCK: UU No. 11 Tahun 2020 tentang Cipta Kerja &amp; Perppu No. 2 Tahun 2022, serta PP No. 35 Tahun 2021
- PSAK 24: Standar akuntansi untuk pengakuan dan pengukuran imbalan kerja
 b. Komponen Manfaat IPK
Baik UUK maupun UUCK mengatur tiga komponen utama manfaat IPK:
- Uang Pesangon
- Uang Penghargaan Masa Kerja (UPMK)
- Uang Penggantian Hak (UPH)
Namun, rumusan dan besaran manfaatnya berbeda.
---
 2. Perbedaan Rumusan Manfaat: UUK vs UUCK
 A. Tabel Manfaat Pesangon
| Masa Kerja (Tahun) | Pesangon (Bulan Upah) UUK | Pesangon (Bulan Upah) UUCK |
|--------------------|--------------------------|----------------------------|
| &lt; 1                | 1                        | 1                          |
| ≥ 1 – &lt; 2          | 2                        | 2                          |
| ≥ 2 – &lt; 3          | 3                        | 3                          |
| ≥ 3 – &lt; 4          | 4                        | 4                          |
| ≥ 4 – &lt; 5          | 5                        | 5                          |
| ≥ 5 – &lt; 6          | 6                        | 6                          |
| ≥ 6 – &lt; 7          | 7                        | 7                          |
| ≥ 7 – &lt; 8          | 8                        | 8                          |
| ≥ 8                | 9                        | 9                          |
Catatan:  
Tabel pesangon secara nominal sama, namun UUCK memperkenalkan faktor pengali yang lebih kecil untuk banyak alasan PHK (misal: 0,5x, 0,75x, 1x, dst), sehingga manfaat aktual yang diterima pekerja umumnya lebih kecil.
---
 B. Tabel Manfaat Penghargaan Masa Kerja (UPMK)
| Masa Kerja (Tahun) | UPMK (Bulan Upah) UUK | UPMK (Bulan Upah) UUCK |
|--------------------|----------------------|------------------------|
| ≥ 3 – &lt; 6          | 2                    | 2                      |
| ≥ 6 – &lt; 9          | 3                    | 3                      |
| ≥ 9 – &lt; 12         | 4                    | 4                      |
| ≥ 12 – &lt; 15        | 5                    | 5                      |
| ≥ 15 – &lt; 18        | 6                    | 6                      |
| ≥ 18 – &lt; 21        | 7                    | 7                      |
| ≥ 21 – &lt; 24        | 8                    | 8                      |
| ≥ 24               | 10                   | 10                     |
Catatan:  
Tabel UPMK juga sama, namun faktor pengali pada UUCK lebih kecil untuk banyak alasan PHK.
---
 C. Uang Penggantian Hak (UPH)
- UUK: Hak-hak yang belum diambil (cuti, biaya pulang, dsb.), diberikan penuh sesuai hak aktual.
- UUCK: Sama, namun beberapa hak dapat diatur lebih fleksibel dan tidak selalu wajib diberikan penuh.
---
 D. Faktor Pengali Manfaat
- UUK: Untuk sebagian besar alasan PHK, pesangon dan UPMK diberikan dengan faktor pengali 1x (atau bahkan 2x untuk PHK karena alasan tertentu, misal: meninggal dunia, pensiun, cacat tetap).
- UUCK: Banyak alasan PHK diberikan dengan faktor pengali lebih kecil (misal: 0,5x, 0,75x, 1x), sehingga manfaat aktual lebih rendah.
Contoh:
- PHK karena efisiensi:
  - UUK: Pesangon x 1 + UPMK x 1 + UPH
  - UUCK: (Pesangon + UPMK) x 0,75 + UPH
---
 E. Kompensasi PKWT
- UUK: Tidak ada kompensasi untuk PKWT yang habis masa kontrak.
- UUCK: Ada kompensasi khusus untuk PKWT (1 bulan upah per 12 bulan masa kerja, proporsional).
---
 3. Contoh Praktis Perhitungan
Karyawan tetap, masa kerja 10 tahun, upah terakhir Rp 8.000.000, PHK karena efisiensi:
 A. Berdasarkan UUK
- Pesangon: 8 bulan x Rp 8.000.000 = Rp 64.000.000
- UPMK: 4 bulan x Rp 8.000.000 = Rp 32.000.000
- UPH: Rp 4.000.000
- Total Manfaat: (Rp 64.000.000 + Rp 32.000.000) x 1 + Rp 4.000.000 = Rp 100.000.000
 B. Berdasarkan UUCK
- Pesangon: 8 bulan x Rp 8.000.000 = Rp 64.000.000
- UPMK: 4 bulan x Rp 8.000.000 = Rp 32.000.000
- UPH: Rp 4.000.000
- Faktor pengali: 0,75x
- Total Manfaat: (Rp 64.000.000 + Rp 32.000.000) x 0,75 + Rp 4.000.000 = Rp 72.000.000 + Rp 4.000.000 = Rp 76.000.000
---
 4. Referensi Standar Aktuaria
- PSAK 24: Imbalan kerja harus dihitung sesuai hak aktual berdasarkan peraturan yang berlaku (UUK atau UUCK).
- SAI 16: Penilaian imbalan kerja wajib mengikuti perubahan regulasi ketenagakerjaan.
---
 5. Kesimpulan Praktis
- UUK: Rumusan manfaat lebih besar, faktor pengali umumnya 1x atau 2x, tidak ada kompensasi PKWT.
- UUCK: Rumusan tabel sama, namun faktor pengali lebih kecil untuk banyak alasan PHK, sehingga manfaat aktual lebih kecil; ada kompensasi PKWT.
- Dampak Aktuaria: Kewajiban imbalan kerja (liabilitas PSAK 24) umumnya menurun jika perusahaan beralih dari UUK ke UUCK.
---
 6. Saran Implementasi
- Pastikan kebijakan perusahaan dan perhitungan aktuaria sudah mengacu pada regulasi yang berlaku (UUK atau UUCK).
- Perhatikan alasan PHK dan faktor pengali yang sesuai.
- Dokumentasikan perubahan dan konsultasikan dengan aktuaria untuk penyesuaian liabilitas.
---
Referensi:
- UU No. 13 Tahun 2003 (UUK)
- UU No. 11 Tahun 2020 (UUCK) &amp; Perppu No. 2 Tahun 2022
- PP No. 35 Tahun 2021
- PSAK 24
- SAI 16
---
Jika membutuhkan simulasi perhitungan atau template Excel, silakan informasikan kebutuhan spesifik Anda.</t>
  </si>
  <si>
    <t>berikan perbandingan rumusan pengali manfaat dalam uuck dan uuk untuk perhitungan IPK</t>
  </si>
  <si>
    <t>PANDUAN/02f_proses_valuasi</t>
  </si>
  <si>
    <t>Combine Support dengan Note
---
 1. Penjelasan Teoritis
 a. Dasar Hukum
- UUK: UU No. 13 Tahun 2003 tentang Ketenagakerjaan
- UUCK: UU No. 11 Tahun 2020 tentang Cipta Kerja, Perppu No. 2 Tahun 2022, dan PP No. 35 Tahun 2021
 b. Komponen Manfaat IPK
Baik UUK maupun UUCK mengatur tiga komponen utama manfaat IPK:
- Uang Pesangon
- Uang Penghargaan Masa Kerja (UPMK)
- Uang Penggantian Hak (UPH)
Namun, rumusan pengali manfaat (faktor pengali) berbeda antara UUK dan UUCK.
---
 2. Perbandingan Rumusan Pengali Manfaat
 A. UUK (UU No. 13 Tahun 2003)
- Faktor pengali pada umumnya adalah 1x (atau bahkan 2x untuk alasan tertentu seperti meninggal dunia, pensiun, cacat tetap).
- Contoh:  
  - PHK karena efisiensi: (Pesangon + UPMK) x 1 + UPH  
  - PHK karena pensiun: (Pesangon + UPMK) x 2 + UPH
 B. UUCK (UU No. 11 Tahun 2020 &amp; PP No. 35 Tahun 2021)
- Faktor pengali bervariasi dan lebih kecil untuk banyak alasan PHK, misalnya 0,5x, 0,75x, 1x, atau 2x tergantung alasan PHK.
- Contoh:  
  - PHK karena efisiensi: (Pesangon + UPMK) x 0,75 + UPH  
  - PHK karena pelanggaran berat: (Pesangon + UPMK) x 0,5 + UPH  
  - PHK karena pensiun: (Pesangon + UPMK) x 1,75 + UPH  
  - PHK karena meninggal dunia: (Pesangon + UPMK) x 2 + UPH
Catatan:  
Tabel pesangon dan UPMK secara nominal sama, namun faktor pengali pada UUCK lebih kecil untuk sebagian besar alasan PHK, sehingga manfaat aktual yang diterima pekerja umumnya lebih kecil dibandingkan UUK.
---
 3. Tabel Perbandingan Faktor Pengali (Contoh Alasan PHK)
| Alasan PHK                | Pengali UUK | Pengali UUCK      |
|---------------------------|-------------|-------------------|
| Efisiensi                 | 1x          | 0,75x             |
| Pelanggaran berat         | 0,5x        | 0,5x              |
| Pensiun                   | 2x          | 1,75x             |
| Meninggal dunia           | 2x          | 2x                |
| Perusahaan tutup          | 1x          | 0,5x atau 1x      |
| Mengundurkan diri         | 0x (hanya UPH) | 0x (hanya UPH)  |
Sumber:  
- UUK: Pasal 156, 162  
- UUCK: PP 35/2021 Pasal 40-50
---
 4. Contoh Praktis Perhitungan
Karyawan tetap, masa kerja 10 tahun, upah terakhir Rp 8.000.000, PHK karena efisiensi:
 A. Berdasarkan UUK
- Pesangon: 8 bulan x Rp 8.000.000 = Rp 64.000.000
- UPMK: 4 bulan x Rp 8.000.000 = Rp 32.000.000
- UPH: Rp 4.000.000
- Total Manfaat: (Rp 64.000.000 + Rp 32.000.000) x 1 + Rp 4.000.000 = Rp 100.000.000
 B. Berdasarkan UUCK
- Pesangon: 8 bulan x Rp 8.000.000 = Rp 64.000.000
- UPMK: 4 bulan x Rp 8.000.000 = Rp 32.000.000
- UPH: Rp 4.000.000
- Faktor pengali: 0,75x
- Total Manfaat: (Rp 64.000.000 + Rp 32.000.000) x 0,75 + Rp 4.000.000 = Rp 72.000.000 + Rp 4.000.000 = Rp 76.000.000
---
 5. Referensi Standar Aktuaria
- PSAK 24: Imbalan kerja harus dihitung sesuai hak aktual berdasarkan peraturan yang berlaku (UUK atau UUCK).
- SAI 16: Penilaian imbalan kerja wajib mengikuti perubahan regulasi ketenagakerjaan.
---
 6. Kesimpulan Praktis
- UUK: Faktor pengali umumnya 1x atau 2x (lebih besar).
- UUCK: Faktor pengali lebih kecil untuk banyak alasan PHK (0,5x, 0,75x, 1x, 2x), sehingga manfaat aktual lebih kecil.
- Dampak Aktuaria: Kewajiban imbalan kerja (liabilitas PSAK 24) menurun jika perusahaan beralih dari UUK ke UUCK.
---
 7. Saran Implementasi
- Pastikan kebijakan perusahaan dan perhitungan aktuaria sudah mengacu pada regulasi yang berlaku (UUK atau UUCK).
- Perhatikan alasan PHK dan faktor pengali yang sesuai.
- Dokumentasikan perubahan dan konsultasikan dengan aktuaria untuk penyesuaian liabilitas.
---
Jika membutuhkan simulasi perhitungan atau template Excel, silakan informasikan kebutuhan spesifik Anda.</t>
  </si>
  <si>
    <t>faktor yang mempengaruhi perhitungan karyawan tetap</t>
  </si>
  <si>
    <t>Karyawan tetap</t>
  </si>
  <si>
    <t>Combine Support dengan Note
---
 1. Penjelasan Teoritis
Perhitungan manfaat IPK (Pesangon, Penghargaan Masa Kerja, dan Penggantian Hak) untuk karyawan tetap dipengaruhi oleh sejumlah faktor utama, baik yang bersifat regulasi maupun karakteristik individu karyawan.
 A. Faktor Regulasi
- Dasar Hukum yang Berlaku:  
  Apakah perusahaan mengacu pada UUK (UU No. 13 Tahun 2003) atau UUCK (UU No. 11 Tahun 2020 &amp; PP No. 35 Tahun 2021).  
  Dampak: Rumusan manfaat dan faktor pengali berbeda, sehingga mempengaruhi besaran manfaat.
- Alasan PHK:  
  Setiap alasan PHK (misal: efisiensi, pensiun, meninggal dunia, pelanggaran berat, dsb.) memiliki faktor pengali yang berbeda untuk pesangon dan UPMK.
- Kebijakan Perusahaan:  
  Beberapa perusahaan memberikan manfaat di atas minimum regulasi (top up benefit).
 B. Faktor Individu Karyawan
- Masa Kerja:  
  Semakin lama masa kerja, semakin besar manfaat pesangon dan UPMK.
- Upah Terakhir:  
  Manfaat dihitung berdasarkan upah terakhir (upah pokok + tunjangan tetap).
- Hak yang Belum Diambil:  
  Untuk UPH, hak aktual seperti cuti tahunan yang belum diambil, biaya pulang, dsb.
 C. Faktor Lain
- Status Karyawan:  
  Hanya karyawan tetap (PKWTT) yang berhak atas pesangon dan UPMK penuh. Karyawan kontrak (PKWT) di UUCK mendapat kompensasi khusus.
- Perubahan Regulasi:  
  Perubahan undang-undang atau peraturan pemerintah dapat mengubah rumusan manfaat.
- Asumsi Aktuaria (untuk PSAK 24):  
  - Usia pensiun normal
  - Tingkat kenaikan gaji
  - Tingkat diskonto
  - Tingkat kematian, resign, cacat, dsb.
---
 2. Contoh Praktis
Karyawan Tetap, Masa Kerja 12 tahun, Upah Terakhir Rp 10.000.000, PHK karena pensiun:
- Masa kerja menentukan pesangon (misal: 9 bulan upah) dan UPMK (misal: 5 bulan upah).
- Upah terakhir: Rp 10.000.000
- Alasan PHK: Pensiun
- Faktor pengali:
  - UUK: 2x
  - UUCK: 1,75x
Perhitungan (berdasarkan UUK):
- Pesangon: 9 x Rp 10.000.000 = Rp 90.000.000
- UPMK: 5 x Rp 10.000.000 = Rp 50.000.000
- UPH: Rp 5.000.000
- Total: (Rp 90.000.000 + Rp 50.000.000) x 2 + Rp 5.000.000 = Rp 285.000.000
---
 3. Referensi Standar Aktuaria
- PSAK 24: Imbalan kerja harus dihitung sesuai hak aktual berdasarkan peraturan yang berlaku.
- SAI 16: Penilaian imbalan kerja wajib mengikuti regulasi ketenagakerjaan yang berlaku.
---
 4. Saran Implementasi
- Identifikasi regulasi yang berlaku di perusahaan (UUK atau UUCK).
- Pastikan data karyawan (masa kerja, upah terakhir, status, alasan PHK) tercatat dengan baik.
- Gunakan asumsi aktuaria yang sesuai untuk perhitungan liabilitas (PSAK 24).
- Dokumentasikan dasar hukum dan hasil perhitungan untuk audit dan kepatuhan.
---
 5. Kesimpulan
Faktor utama yang mempengaruhi perhitungan manfaat IPK untuk karyawan tetap adalah:
1. Regulasi yang berlaku (UUK/UUCK)
2. Alasan PHK (menentukan faktor pengali)
3. Masa kerja dan upah terakhir karyawan
4. Hak aktual yang belum diambil (UPH)
5. Status karyawan (tetap/kontrak)
6. Asumsi aktuaria (untuk pelaporan keuangan)
Perusahaan wajib memastikan perhitungan manfaat IPK sesuai regulasi dan karakteristik karyawan, serta memperbarui perhitungan jika terjadi perubahan regulasi atau kebijakan.
---
Jika membutuhkan simulasi perhitungan atau template Excel, silakan informasikan kebutuhan spesifik Anda.</t>
  </si>
  <si>
    <t>57, 64</t>
  </si>
  <si>
    <t>batas atas aset adalah</t>
  </si>
  <si>
    <t>Batas Atas Aset</t>
  </si>
  <si>
    <t>Combine Support dengan Note
---
 1. Penjelasan Teoritis
 Apa itu Batas Atas Aset (Asset Ceiling)?
Batas atas aset adalah batas maksimum jumlah aset program imbalan pasti (misal: dana pensiun) yang dapat diakui dalam laporan keuangan perusahaan. Dengan kata lain, meskipun secara aktuaria dana program lebih besar dari kewajiban (liabilitas), perusahaan tidak selalu bisa mengakui seluruh surplus tersebut sebagai aset.
 Mengapa Ada Batas Atas Aset?
Tujuannya adalah untuk menghindari pengakuan aset yang tidak benar-benar dapat dimanfaatkan oleh perusahaan. Surplus dana pensiun, misalnya, hanya bisa diakui sebagai aset jika perusahaan benar-benar bisa mengakses atau memanfaatkannya (misal: melalui pengembalian dana atau pengurangan iuran di masa depan).
---
 2. Dasar Hukum dan Standar Akuntansi
- PSAK 24 (paragraf 58-64) / IAS 19: Mengatur pengakuan, pengukuran, dan pembatasan aset program imbalan pasti.
- SAI 16: Mengatur praktik aktuaria dalam penilaian imbalan kerja.
---
 3. Rumus dan Cara Menghitung Batas Atas Aset
Aset program yang diakui = Nilai kini surplus program, dibatasi oleh batas atas aset
Batas atas aset adalah nilai kini manfaat ekonomi maksimum yang tersedia dalam bentuk:
- Pengembalian dana dari program (refund), atau
- Pengurangan iuran di masa depan (reduction in future contributions)
Jadi, yang diakui di neraca adalah:
&gt; Aset program yang diakui = Nilai lebih (surplus) dana program atas liabilitas imbalan pasti, tetapi tidak boleh melebihi batas atas aset.
---
 4. Contoh Praktis
Misalkan:
- Nilai kini kewajiban imbalan pasti (DBO): Rp 10 miliar
- Nilai wajar aset program: Rp 12 miliar
- Surplus: Rp 2 miliar
Namun, setelah analisis:
- Perusahaan hanya bisa mengakses Rp 1,5 miliar (misal, karena regulasi dana pensiun atau pembatasan pengembalian dana).
Maka, aset yang diakui di neraca hanya Rp 1,5 miliar, bukan Rp 2 miliar.
---
 5. Faktor yang Mempengaruhi Batas Atas Aset
- Regulasi lokal: Apakah perusahaan boleh menarik surplus dana pensiun?
- Aturan dana pensiun: Apakah surplus bisa digunakan untuk mengurangi iuran di masa depan?
- Kondisi ekonomi dan kebijakan perusahaan: Apakah ada rencana untuk mengurangi iuran atau menarik dana?
---
 6. Referensi Standar
- PSAK 24 (paragraf 58-64)
- IAS 19 (paragraf 64-69)
- SAI 16
---
 7. Saran Implementasi Praktis
- Lakukan analisis regulasi dan dokumen dana pensiun untuk menentukan apakah surplus benar-benar dapat diakses.
- Konsultasikan dengan aktuaria dan auditor untuk memastikan perhitungan batas atas aset sesuai standar.
- Dokumentasikan alasan dan perhitungan jika terjadi pembatasan pengakuan aset.
---
 8. Kesimpulan
Batas atas aset adalah pembatasan jumlah surplus dana program imbalan pasti yang dapat diakui sebagai aset perusahaan, sesuai manfaat ekonomi yang benar-benar dapat diperoleh (refund atau pengurangan iuran).  
Pengakuan aset harus mengikuti ketentuan PSAK 24/IAS 19 dan mempertimbangkan regulasi serta aturan dana pensiun yang berlaku.
---
Jika membutuhkan simulasi atau template perhitungan batas atas aset, silakan informasikan kebutuhan spesifik Anda.</t>
  </si>
  <si>
    <t>roi adalah</t>
  </si>
  <si>
    <t>PANDUAN/02d_asumsi_aktuaria</t>
  </si>
  <si>
    <t>Combine Support dengan Note
---
 1. Penjelasan Teoritis
 Apa itu ROI?
ROI (Return on Investment) adalah rasio keuangan yang digunakan untuk mengukur efisiensi atau profitabilitas suatu investasi. ROI menunjukkan seberapa besar keuntungan (return) yang diperoleh dibandingkan dengan jumlah investasi yang dikeluarkan.
 Rumus ROI
\[
\text{ROI} = \frac{\text{Keuntungan Bersih (Net Profit)}}{\text{Total Investasi}} \times 100\%
\]
atau dalam bentuk lain:
\[
\text{ROI} = \frac{\text{Nilai Akhir Investasi} - \text{Nilai Awal Investasi}}{\text{Nilai Awal Investasi}} \times 100\%
\]
---
 2. Aspek Praktis
 Interpretasi ROI
- ROI positif: Investasi menghasilkan keuntungan.
- ROI negatif: Investasi mengalami kerugian.
- Semakin tinggi ROI, semakin baik efisiensi investasi tersebut.
 Penggunaan ROI
- Investor: Menilai efektivitas investasi pada saham, obligasi, properti, atau proyek bisnis.
- Manajemen: Membandingkan berbagai alternatif investasi atau proyek.
- Aktuaris: Menggunakan ROI untuk mengevaluasi hasil investasi dana pensiun, asuransi, atau portofolio aset perusahaan.
---
 3. Contoh Praktis
Misalkan:
- Investasi awal: Rp 100.000.000
- Nilai investasi setelah 1 tahun: Rp 120.000.000
\[
\text{ROI} = \frac{120.000.000 - 100.000.000}{100.000.000} \times 100\% = 20\%
\]
Artinya, investasi tersebut menghasilkan keuntungan 20% dalam satu tahun.
---
 4. Relevansi dalam Aktuaria
- Dana Pensiun &amp; Asuransi: ROI digunakan untuk mengukur kinerja investasi aset yang digunakan untuk memenuhi kewajiban jangka panjang.
- Penilaian Kesehatan Keuangan: ROI menjadi indikator penting dalam menilai apakah hasil investasi cukup untuk menutup liabilitas aktuaria.
- Pengambilan Keputusan: ROI membantu aktuaria dan manajemen dalam memilih strategi investasi yang optimal.
---
 5. Referensi Standar
- PSAK 68: Pengukuran nilai wajar aset investasi.
- PSAK 24: Pengaruh hasil investasi terhadap aset program imbalan pasti.
- SAI (Standar Aktuaria Indonesia): Tidak secara spesifik membahas ROI, namun relevan dalam konteks evaluasi hasil investasi dan proyeksi aset.
---
 6. Saran Implementasi
- Gunakan data yang valid dan terverifikasi untuk menghitung ROI.
- Bandingkan ROI antar periode atau antar instrumen investasi untuk analisis tren dan pengambilan keputusan.
- Perhatikan risiko investasi: ROI hanya mengukur hasil, tidak memperhitungkan risiko yang diambil.
- Dokumentasikan asumsi dan metode perhitungan untuk keperluan audit dan pelaporan.
---
 7. Kesimpulan
ROI (Return on Investment) adalah rasio yang mengukur efisiensi dan profitabilitas suatu investasi, sangat penting untuk menilai kinerja investasi baik di perusahaan umum maupun institusi yang memiliki kewajiban aktuaria seperti dana pensiun dan asuransi.  
ROI membantu manajemen dan aktuaria dalam mengevaluasi dan membandingkan berbagai alternatif investasi untuk memastikan kecukupan dana dalam memenuhi kewajiban jangka panjang.
---
Jika Anda membutuhkan template perhitungan ROI atau simulasi investasi dalam konteks aktuaria, silakan informasikan kebutuhan spesifik Anda.</t>
  </si>
  <si>
    <t>bagaimana cara menghitung beban dalam IPK</t>
  </si>
  <si>
    <t>Beban</t>
  </si>
  <si>
    <t>Combine Support dengan Note
---
 1. Penjelasan Teoritis
 Apa itu Beban dalam IPK?
Beban dalam IPK adalah jumlah biaya yang harus diakui perusahaan dalam laporan laba rugi terkait kewajiban imbalan pasca kerja (misal: pensiun, pesangon, imbalan kerja jangka panjang lainnya) selama satu periode pelaporan.
---
 2. Komponen Beban Imbalan Pasca Kerja (PSAK 24/IAS 19)
Beban imbalan pasca kerja terdiri dari beberapa komponen utama:
1. Biaya jasa kini (Current Service Cost):
   - Nilai kini dari imbalan yang timbul dari jasa yang diberikan karyawan pada periode berjalan.
2. Biaya bunga (Interest Cost):
   - Bunga atas kewajiban imbalan pasti (DBO) pada awal periode, dihitung dengan tingkat diskonto aktuaria.
3. Imbal hasil aset program (Expected Return on Plan Assets):
   - Pendapatan investasi yang diharapkan dari aset program, dihitung dengan tingkat diskonto yang sama.
4. Biaya jasa lalu (Past Service Cost):
   - Perubahan kewajiban akibat perubahan program atau pengenalan program baru, diakui segera dalam laba rugi.
5. Keuntungan/kerugian aktuaria (Actuarial Gain/Loss):
   - Perubahan estimasi aktuaria dan asumsi yang mempengaruhi DBO dan aset program. (Mulai PSAK 24 revisi, komponen ini diakui di penghasilan komprehensif lain, bukan laba rugi.)
---
 3. Rumus Perhitungan Beban IPK
Secara umum, rumus beban imbalan pasca kerja yang diakui di laba rugi adalah:
\[
\text{Beban IPK} = \text{Biaya Jasa Kini} + \text{Biaya Bunga} - \text{Imbal Hasil Aset Program} + \text{Biaya Jasa Lalu} + \text{(Efek Kurtailmen/Settlement jika ada)}
\]
Catatan:  
- Keuntungan/kerugian aktuaria diakui di penghasilan komprehensif lain (OCI), bukan di laba rugi, sesuai PSAK 24 revisi.
- Jika tidak ada aset program, komponen "Imbal Hasil Aset Program" = 0.
---
 4. Contoh Praktis
Misalkan hasil perhitungan aktuaria untuk tahun berjalan:
- Biaya jasa kini: Rp 500 juta
- Biaya bunga: Rp 200 juta
- Imbal hasil aset program: Rp 100 juta
- Biaya jasa lalu: Rp 50 juta
Maka, beban IPK yang diakui di laba rugi:
\[
\text{Beban IPK} = 500 + 200 - 100 + 50 = Rp 650 \text{ juta}
\]
---
 5. Referensi Standar
- PSAK 24 (paragraf 120-130): Pengakuan dan pengukuran beban imbalan pasca kerja.
- IAS 19: Standar internasional yang setara.
- SAI 16: Standar Aktuaria Indonesia tentang penilaian imbalan kerja.
---
 6. Saran Implementasi Praktis
- Gunakan laporan aktuaria tahunan untuk memperoleh nilai DBO, aset program, dan komponen biaya.
- Pastikan asumsi aktuaria (tingkat diskonto, kenaikan gaji, mortalitas, dsb) sudah sesuai standar dan disetujui manajemen.
- Dokumentasikan perhitungan dan konsultasikan dengan auditor untuk memastikan kepatuhan terhadap PSAK 24.
- Pisahkan pengakuan beban di laba rugi dan OCI sesuai ketentuan standar.
---
 7. Kesimpulan
Beban dalam IPK dihitung dengan menjumlahkan biaya jasa kini, biaya bunga, dikurangi imbal hasil aset program, ditambah biaya jasa lalu, serta efek kurtailmen/settlement jika ada.  
Perhitungan harus mengikuti PSAK 24 dan didukung laporan aktuaria yang valid.
---
Jika Anda membutuhkan template perhitungan atau simulasi beban IPK, silakan informasikan kebutuhan spesifik Anda.</t>
  </si>
  <si>
    <t>CBS adalah</t>
  </si>
  <si>
    <t>CBS</t>
  </si>
  <si>
    <t>PANDUAN/02b_dana_pensiun</t>
  </si>
  <si>
    <t>Combine Support dengan Note
---
 1. Penjelasan Teoritis
 Apa itu CBS?
CBS adalah singkatan yang dapat memiliki beberapa arti tergantung pada konteksnya. Dalam dunia aktuaria dan keuangan di Indonesia, CBS paling sering merujuk pada Current Benefit Structure (Struktur Manfaat Saat Ini).
Current Benefit Structure (CBS) adalah istilah yang digunakan untuk menggambarkan struktur manfaat atau skema imbalan yang berlaku saat ini dalam suatu program imbalan kerja, seperti dana pensiun atau program pensiun manfaat pasti. CBS mencakup seluruh ketentuan, formula, dan parameter yang digunakan untuk menghitung manfaat yang akan diterima peserta berdasarkan aturan yang berlaku pada tanggal penilaian.
---
 2. Aspek Praktis
 Penggunaan CBS dalam Praktik Aktuaria
- Penilaian Kewajiban Aktuaria: Aktuaris menggunakan CBS sebagai dasar untuk menghitung kewajiban imbalan pasti (Defined Benefit Obligation/DBO) dalam laporan keuangan.
- Perubahan Program: Jika ada perubahan pada struktur manfaat (misal: perubahan formula pensiun, usia pensiun, atau komponen manfaat), maka perhitungan kewajiban harus memperhitungkan perubahan dari CBS ke struktur baru.
- Laporan Aktuaria: CBS harus dijelaskan secara rinci dalam laporan aktuaria agar auditor dan manajemen memahami dasar perhitungan kewajiban.
---
 3. Contoh Praktis
Misalkan, dalam suatu dana pensiun, CBS yang berlaku adalah:
- Manfaat pensiun = 2% x masa kerja x gaji terakhir
- Usia pensiun normal = 55 tahun
- Gaji terakhir = rata-rata 12 bulan terakhir
Jika perusahaan ingin mengubah manfaat menjadi 1,75% x masa kerja x gaji terakhir, maka perubahan ini akan mempengaruhi perhitungan kewajiban dan beban imbalan kerja.
---
 4. Referensi Standar
- PSAK 24 (Imbalan Kerja): Mengatur bahwa penilaian kewajiban imbalan pasti harus didasarkan pada struktur manfaat saat ini (CBS) pada tanggal pelaporan.
- SAI 16 (Standar Aktuaria Indonesia tentang Imbalan Kerja): Mengharuskan aktuaria menjelaskan asumsi dan struktur manfaat yang digunakan dalam perhitungan.
---
 5. Saran Implementasi
- Dokumentasikan CBS secara jelas dalam laporan aktuaria, termasuk formula, parameter, dan ketentuan manfaat.
- Update CBS jika ada perubahan kebijakan perusahaan atau regulasi.
- Komunikasikan perubahan CBS kepada seluruh pemangku kepentingan (manajemen, auditor, peserta program).
---
 6. Kesimpulan
CBS (Current Benefit Structure) adalah struktur manfaat imbalan kerja yang berlaku saat ini dan menjadi dasar utama dalam perhitungan kewajiban aktuaria.  
CBS harus selalu didokumentasikan dan diperbarui jika ada perubahan, serta menjadi referensi utama dalam pelaporan keuangan dan aktuaria.
---
Jika Anda membutuhkan contoh template dokumentasi CBS atau simulasi dampak perubahan CBS terhadap kewajiban aktuaria, silakan informasikan kebutuhan spesifik Anda.</t>
  </si>
  <si>
    <t>berikan contoh perhitungan interpolasi dalam konteks perhitungan IPK</t>
  </si>
  <si>
    <t>Interpolasi</t>
  </si>
  <si>
    <t>Combine Support dengan Note
---
 1. Penjelasan Teoritis
 Apa itu Interpolasi dalam Perhitungan IPK?
Interpolasi adalah metode matematis untuk memperkirakan nilai di antara dua titik data yang diketahui. Dalam aktuaria, interpolasi sering digunakan untuk:
- Menentukan faktor diskonto, probabilitas mortalitas, atau faktor aktuaria lain pada usia atau periode yang tidak tersedia secara langsung dalam tabel.
- Menghitung nilai tunai manfaat pada usia atau masa kerja tertentu yang tidak tercantum eksplisit dalam tabel aktuaria.
---
 2. Kapan Interpolasi Diperlukan dalam IPK?
- Tabel Mortalitas: Jika tabel hanya menyediakan probabilitas pada usia bulat, tetapi Anda membutuhkan nilai pada usia di antara dua angka bulat.
- Tingkat Diskonto: Jika Anda memiliki tingkat diskonto tahunan, tetapi perlu menghitung untuk periode antar tahun.
- Faktor Manfaat: Jika faktor manfaat hanya tersedia untuk masa kerja tertentu, tetapi peserta memiliki masa kerja di antara dua nilai tersebut.
---
 3. Contoh Praktis Perhitungan Interpolasi
 Contoh Kasus:
Seorang karyawan berusia 37,5 tahun. Tabel mortalitas hanya menyediakan probabilitas hidup pada usia 37 dan 38 tahun. Anda ingin mengetahui probabilitas hidup pada usia 37,5 tahun.
 Data Tabel Mortalitas:
- lx pada usia 37 = 9.800
- lx pada usia 38 = 9.750
 Langkah Interpolasi Linier:
\[
l_{x}(\text{usia 37,5}) = l_{x}(37) + [l_{x}(38) - l_{x}(37)] \times \frac{37,5 - 37}{38 - 37}
\]
\[
l_{x}(37,5) = 9.800 + (9.750 - 9.800) \times 0,5
\]
\[
l_{x}(37,5) = 9.800 + (-50) \times 0,5
\]
\[
l_{x}(37,5) = 9.800 - 25 = 9.775
\]
Jadi, probabilitas hidup pada usia 37,5 tahun diperkirakan 9.775.
---
 Contoh Lain: Interpolasi Faktor Diskonto
Misal, tingkat diskonto tahunan:
- Tahun ke-10: 0,3855
- Tahun ke-11: 0,3506
Anda ingin mengetahui faktor diskonto pada tahun ke-10,5.
\[
\text{Faktor diskonto tahun ke-10,5} = 0,3855 + (0,3506 - 0,3855) \times 0,5
\]
\[
= 0,3855 + (-0,0349) \times 0,5
\]
\[
= 0,3855 - 0,01745 = 0,36805
\]
---
 4. Referensi Standar
- PSAK 24 (Imbalan Kerja): Tidak mengatur metode interpolasi secara spesifik, namun mengharuskan penggunaan asumsi dan metode yang wajar dan konsisten.
- SAI 16 (Standar Aktuaria Indonesia): Mengharuskan aktuaria menggunakan metode yang dapat dipertanggungjawabkan secara profesional, termasuk interpolasi jika diperlukan.
---
 5. Saran Implementasi Praktis
- Gunakan interpolasi linier untuk kasus sederhana (antar dua titik).
- Dokumentasikan metode interpolasi yang digunakan dalam laporan aktuaria.
- Pastikan interpolasi tidak digunakan untuk ekstrapolasi (memperkirakan di luar rentang data), kecuali dengan justifikasi yang kuat.
- Konsultasikan dengan auditor jika interpolasi mempengaruhi nilai material dalam laporan keuangan.
---
 6. Kesimpulan
Interpolasi dalam perhitungan IPK digunakan untuk memperkirakan nilai aktuaria (misal: probabilitas hidup, faktor diskonto, faktor manfaat) pada titik yang tidak tersedia langsung dalam tabel.  
Metode yang paling umum adalah interpolasi linier, dan penggunaannya harus didokumentasikan serta sesuai dengan standar aktuaria yang berlaku.
---
Jika Anda membutuhkan template perhitungan interpolasi atau simulasi lebih lanjut dalam konteks IPK, silakan informasikan kebutuhan spesifik Anda.</t>
  </si>
  <si>
    <t>apakah dengan menggunakan interpolasi, nilai perhitungan IPK lebih presisi dan akurat?</t>
  </si>
  <si>
    <t>Combine Support dengan Note
---
 1. Penjelasan Teoritis
 Apa itu Interpolasi dalam IPK?
Interpolasi adalah metode matematis untuk memperkirakan nilai di antara dua titik data yang diketahui. Dalam perhitungan IPK, interpolasi biasanya digunakan ketika:
- Data pada tabel mortalitas, diskonto, atau faktor manfaat hanya tersedia pada interval tertentu (misal: usia bulat, tahun bulat), sedangkan perhitungan membutuhkan nilai di antara interval tersebut (misal: usia 37,5 tahun, masa kerja 12,7 tahun, dsb).
---
 2. Dampak Interpolasi terhadap Presisi dan Akurasi
 Presisi
- Presisi mengacu pada seberapa detail dan konsisten hasil perhitungan.
- Dengan interpolasi, nilai yang dihasilkan berada di antara dua titik data yang diketahui, sehingga hasilnya lebih mendekati kondisi aktual peserta (misal: usia atau masa kerja tidak selalu bulat).
- Tanpa interpolasi, perhitungan harus membulatkan ke atas atau ke bawah, yang bisa menyebabkan deviasi dari nilai sebenarnya.
 Akurasi
- Akurasi adalah seberapa dekat hasil perhitungan dengan nilai sebenarnya.
- Interpolasi meningkatkan akurasi karena memperhitungkan variasi di antara dua titik data, sehingga hasil perhitungan lebih representatif terhadap kondisi nyata peserta.
- Namun, interpolasi hanya seakurat data dasar dan asumsi yang digunakan. Jika data dasarnya kurang tepat, interpolasi tidak akan memperbaiki akurasi secara mutlak.
---
 3. Contoh Praktis
Misalkan, seorang karyawan berusia 37,5 tahun, sedangkan tabel hanya menyediakan data pada usia 37 dan 38. Jika tanpa interpolasi, Anda harus memilih salah satu (misal: 37 atau 38), yang bisa menyebabkan bias. Dengan interpolasi, Anda dapat menghitung nilai di usia 37,5, sehingga hasilnya lebih presisi dan akurat.
---
 4. Referensi Standar
- PSAK 24 dan SAI 16 tidak secara eksplisit mengatur interpolasi, namun menekankan penggunaan metode yang wajar dan dapat dipertanggungjawabkan untuk menghasilkan estimasi yang andal.
- Dalam praktik aktuaria internasional (misal: IAS 19, Actuarial Standards of Practice), interpolasi linier adalah metode yang umum dan diterima untuk meningkatkan presisi dan akurasi perhitungan.
---
 5. Saran Implementasi
- Gunakan interpolasi linier untuk kasus sederhana (antar dua titik data).
- Dokumentasikan metode interpolasi dalam laporan aktuaria agar dapat diaudit dan dipertanggungjawabkan.
- Pastikan interpolasi hanya digunakan dalam rentang data yang tersedia (bukan ekstrapolasi), kecuali ada justifikasi kuat.
---
 6. Kesimpulan
Dengan menggunakan interpolasi, nilai perhitungan IPK menjadi lebih presisi dan akurat karena hasilnya lebih mencerminkan kondisi aktual peserta, terutama jika data dasar hanya tersedia pada interval tertentu. Namun, interpolasi tetap bergantung pada kualitas data dan asumsi yang digunakan. Penggunaan interpolasi adalah praktik aktuaria yang wajar dan direkomendasikan untuk meningkatkan kualitas estimasi kewajiban imbalan pasca kerja.
---
Jika Anda membutuhkan contoh perhitungan interpolasi dalam laporan aktuaria atau template perhitungannya, silakan informasikan kebutuhan spesifik Anda.</t>
  </si>
  <si>
    <t>asumsi apa yang digunakan dalam perhitungan karyawan kontrak</t>
  </si>
  <si>
    <t>Note</t>
  </si>
  <si>
    <t>Anchor Answer ke Note
---
 1. Penjelasan Teoritis
 Perlakuan Karyawan Kontrak dalam IPK
Dalam konteks aktuaria dan pelaporan keuangan (misal: PSAK 24), karyawan kontrak adalah pekerja dengan masa kerja terbatas sesuai perjanjian kerja waktu tertentu (PKWT). Perlakuan mereka dalam perhitungan IPK berbeda dengan karyawan tetap, terutama terkait masa kerja, hak atas manfaat, dan probabilitas kelanjutan kontrak.
---
 2. Asumsi Utama dalam Perhitungan IPK untuk Karyawan Kontrak
 a. Masa Kerja
- Masa kerja yang digunakan adalah masa kerja aktual sesuai kontrak, bukan masa kerja potensial hingga usia pensiun.
- Jika kontrak dapat diperpanjang, aktuaria dapat menggunakan asumsi probabilitas perpanjangan kontrak.
 b. Hak atas Manfaat
- Hanya manfaat yang secara hukum dan kebijakan perusahaan menjadi hak karyawan kontrak yang dihitung (misal: uang pesangon, uang penghargaan masa kerja, uang penggantian hak sesuai UU Ketenagakerjaan).
- Jika karyawan kontrak tidak berhak atas manfaat tertentu (misal: pensiun manfaat pasti), maka tidak perlu dihitung.
 c. Tingkat Diskonto
- Sama seperti karyawan tetap, menggunakan tingkat diskonto sesuai standar (misal: imbal hasil obligasi pemerintah).
 d. Tingkat Kenaikan Gaji
- Jika kontrak singkat (misal: &lt;1 tahun), kenaikan gaji biasanya diabaikan.
- Jika kontrak multi-tahun, asumsi kenaikan gaji dapat digunakan sesuai kebijakan perusahaan.
 e. Probabilitas Keluar
- Untuk karyawan kontrak, probabilitas keluar biasanya 100% pada akhir kontrak, kecuali ada kemungkinan perpanjangan.
- Jika ada peluang perpanjangan, dapat digunakan asumsi probabilitas bertahan.
 f. Mortalitas dan Cacat
- Biasanya diabaikan untuk kontrak jangka pendek.
- Untuk kontrak jangka panjang, dapat digunakan asumsi mortalitas/cacat standar.
---
 3. Contoh Praktis
Kasus:  
Seorang karyawan kontrak dengan masa kerja 2 tahun, gaji Rp5.000.000/bulan, tidak ada perpanjangan kontrak, dan berhak atas uang pesangon sesuai UU Ketenagakerjaan.
Asumsi:
- Masa kerja: 2 tahun
- Tingkat diskonto: 6% per tahun
- Kenaikan gaji: 0% (karena kontrak singkat)
- Probabilitas keluar: 100% pada akhir kontrak
Perhitungan:  
Manfaat dihitung hanya untuk masa kerja 2 tahun, didiskontokan ke nilai kini.
---
 4. Referensi Standar
- PSAK 24 (Imbalan Kerja): Mengatur bahwa kewajiban imbalan kerja harus diakui untuk seluruh karyawan yang memenuhi syarat, termasuk karyawan kontrak, sesuai hak dan masa kerja aktual.
- SAI 16 (Standar Aktuaria Indonesia): Mengharuskan aktuaria menggunakan asumsi yang wajar dan dapat dipertanggungjawabkan, serta mendokumentasikan asumsi yang digunakan.
---
 5. Saran Implementasi Praktis
- Identifikasi hak manfaat karyawan kontrak sesuai peraturan dan kebijakan perusahaan.
- Dokumentasikan asumsi masa kerja, probabilitas perpanjangan, dan hak manfaat secara jelas dalam laporan aktuaria.
- Konsultasikan dengan HR dan Legal untuk memastikan perlakuan sesuai regulasi ketenagakerjaan.
- Pisahkan perhitungan antara karyawan tetap dan kontrak dalam laporan untuk transparansi.
---
 6. Kesimpulan
Asumsi utama dalam perhitungan IPK untuk karyawan kontrak meliputi masa kerja aktual, hak atas manfaat sesuai kontrak, probabilitas perpanjangan kontrak (jika ada), tingkat diskonto, dan biasanya tanpa asumsi kenaikan gaji atau mortalitas untuk kontrak jangka pendek.  
Semua asumsi harus didokumentasikan dan disesuaikan dengan kebijakan perusahaan serta regulasi yang berlaku.
---
Jika Anda membutuhkan contoh template perhitungan IPK untuk karyawan kontrak atau simulasi kasus spesifik, silakan informasikan kebutuhan Anda.</t>
  </si>
  <si>
    <t>berikan contoh perhitungan yang harus dibayarkan untuk karyawan pensiun normal sesuai UUCK</t>
  </si>
  <si>
    <t>Perhitungan UUCK</t>
  </si>
  <si>
    <t>Anchor Answer ke Note
---
 1. Dasar Hukum dan Ketentuan UUCK
UU Cipta Kerja (UU No. 11 Tahun 2020) dan peraturan turunannya (PP No. 35 Tahun 2021) mengatur hak-hak karyawan yang mengalami pemutusan hubungan kerja (PHK), termasuk karena pensiun normal. Untuk kasus pensiun normal, manfaat yang wajib diberikan meliputi:
- Uang Pesangon
- Uang Penghargaan Masa Kerja (UPMK)
- Uang Penggantian Hak (UPH)
---
 2. Komponen Manfaat Pensiun Normal
 a. Uang Pesangon
Besarannya sesuai masa kerja, mengacu pada tabel berikut:
| Masa Kerja (Tahun) | Pesangon (Kali Upah) |
|--------------------|----------------------|
| &lt; 1                | 1                    |
| ≥1 - &lt;2            | 2                    |
| ≥2 - &lt;3            | 3                    |
| ≥3 - &lt;4            | 4                    |
| ≥4 - &lt;5            | 5                    |
| ≥5 - &lt;6            | 6                    |
| ≥6 - &lt;7            | 7                    |
| ≥7 - &lt;8            | 8                    |
| ≥8                 | 9                    |
 b. Uang Penghargaan Masa Kerja (UPMK)
Diberikan jika masa kerja ≥3 tahun, sesuai tabel berikut:
| Masa Kerja (Tahun) | UPMK (Kali Upah) |
|--------------------|------------------|
| ≥3 - &lt;6            | 2                |
| ≥6 - &lt;9            | 3                |
| ≥9 - &lt;12           | 4                |
| ≥12 - &lt;15          | 5                |
| ≥15 - &lt;18          | 6                |
| ≥18 - &lt;21          | 7                |
| ≥21 - &lt;24          | 8                |
| ≥24                | 10               |
 c. Uang Penggantian Hak (UPH)
Sesuai hak-hak yang belum diambil, misal: cuti tahunan yang belum diambil, biaya pulang, dsb. Biasanya dihitung secara aktual.
---
 3. Contoh Praktis Perhitungan
 Kasus:
- Nama: Bapak Andi
- Usia pensiun: 56 tahun (pensiun normal)
- Masa kerja: 15 tahun
- Upah terakhir: Rp10.000.000 per bulan
- UPH: Diasumsikan Rp5.000.000 (misal sisa cuti dan biaya pulang)
 Langkah Perhitungan:
 a. Uang Pesangon
- Masa kerja 15 tahun → 9 kali upah
- Uang Pesangon = 9 × Rp10.000.000 = Rp90.000.000
 b. Uang Penghargaan Masa Kerja (UPMK)
- Masa kerja 15 tahun → 6 kali upah
- UPMK = 6 × Rp10.000.000 = Rp60.000.000
 c. Uang Penggantian Hak (UPH)
- UPH = Rp5.000.000
---
 Total Manfaat Pensiun Normal
\[
\text{Total Manfaat} = \text{Uang Pesangon} + \text{UPMK} + \text{UPH}
\]
\[
= Rp90.000.000 + Rp60.000.000 + Rp5.000.000
\]
\[
= \boxed{Rp155.000.000}
\]
---
 4. Catatan Praktis
- Jika perusahaan memiliki program pensiun manfaat pasti, manfaat dari program tersebut dapat diperhitungkan sebagai pengurang kewajiban pesangon sesuai ketentuan UUCK.
- Jika ada komponen lain (misal: tunjangan pensiun, kompensasi lain), sesuaikan dengan kebijakan perusahaan dan peraturan yang berlaku.
- Pastikan seluruh komponen upah yang digunakan sesuai definisi upah dalam peraturan (upah pokok + tunjangan tetap).
---
 5. Referensi Standar
- UU Cipta Kerja (UU No. 11 Tahun 2020)
- PP No. 35 Tahun 2021
- PSAK 24 (Imbalan Kerja)
- SAI 16 (Standar Aktuaria Indonesia)
---
 6. Saran Implementasi
- Dokumentasikan seluruh asumsi (upah, masa kerja, hak manfaat) dalam laporan aktuaria.
- Konsultasikan dengan HR dan Legal untuk memastikan perhitungan sesuai regulasi terbaru.
- Pisahkan perhitungan antara karyawan tetap, kontrak, dan pensiun dini/normal untuk transparansi.
---
 7. Kesimpulan
Perhitungan manfaat pensiun normal sesuai UUCK terdiri dari uang pesangon, uang penghargaan masa kerja, dan uang penggantian hak, yang dihitung berdasarkan masa kerja dan upah terakhir.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</si>
  <si>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meninggal dunia sesuai UUCK</t>
  </si>
  <si>
    <t>Anchor Answer ke Note
---
 1. Dasar Hukum dan Ketentuan UUCK
UU Cipta Kerja (UU No. 11 Tahun 2020) dan peraturan turunannya (PP No. 35 Tahun 2021) mengatur hak-hak karyawan yang mengalami pemutusan hubungan kerja (PHK), termasuk karena meninggal dunia. Untuk kasus karyawan meninggal dunia, manfaat yang wajib diberikan kepada ahli waris meliputi:
- Uang Pesangon
- Uang Penghargaan Masa Kerja (UPMK)
- Uang Penggantian Hak (UPH)
- Tambahan 2 kali Uang Pesangon (khusus untuk PHK karena meninggal dunia)
---
 2. Komponen Manfaat PHK karena Meninggal Dunia
 a. Uang Pesangon
Besarannya sesuai masa kerja, mengacu pada tabel berikut:
| Masa Kerja (Tahun) | Pesangon (Kali Upah) |
|--------------------|----------------------|
| &lt; 1                | 1                    |
| ≥1 - &lt;2            | 2                    |
| ≥2 - &lt;3            | 3                    |
| ≥3 - &lt;4            | 4                    |
| ≥4 - &lt;5            | 5                    |
| ≥5 - &lt;6            | 6                    |
| ≥6 - &lt;7            | 7                    |
| ≥7 - &lt;8            | 8                    |
| ≥8                 | 9                    |
 b. Uang Penghargaan Masa Kerja (UPMK)
Diberikan jika masa kerja ≥3 tahun, sesuai tabel berikut:
| Masa Kerja (Tahun) | UPMK (Kali Upah) |
|--------------------|------------------|
| ≥3 - &lt;6            | 2                |
| ≥6 - &lt;9            | 3                |
| ≥9 - &lt;12           | 4                |
| ≥12 - &lt;15          | 5                |
| ≥15 - &lt;18          | 6                |
| ≥18 - &lt;21          | 7                |
| ≥21 - &lt;24          | 8                |
| ≥24                | 10               |
 c. Uang Penggantian Hak (UPH)
Sesuai hak-hak yang belum diambil, misal: cuti tahunan yang belum diambil, biaya pulang, dsb. Biasanya dihitung secara aktual.
 d. Tambahan 2 Kali Uang Pesangon
Sesuai PP 35/2021 Pasal 50 ayat (3), untuk PHK karena meninggal dunia, ahli waris berhak atas 2 kali uang pesangon.
---
 3. Contoh Praktis Perhitungan
 Kasus:
- Nama: Ibu Sari
- Meninggal dunia saat masih bekerja
- Masa kerja: 10 tahun
- Upah terakhir: Rp8.000.000 per bulan
- UPH: Diasumsikan Rp4.000.000 (misal sisa cuti dan biaya pulang)
 Langkah Perhitungan:
 a. Uang Pesangon
- Masa kerja 10 tahun → 9 kali upah
- Uang Pesangon = 9 × Rp8.000.000 = Rp72.000.000
 b. Tambahan 2 Kali Uang Pesangon
- Tambahan = 2 × Rp72.000.000 = Rp144.000.000
 c. Uang Penghargaan Masa Kerja (UPMK)
- Masa kerja 10 tahun → 4 kali upah
- UPMK = 4 × Rp8.000.000 = Rp32.000.000
 d. Uang Penggantian Hak (UPH)
- UPH = Rp4.000.000
---
 Total Manfaat PHK karena Meninggal Dunia
\[
\text{Total Manfaat} = (\text{Uang Pesangon} + \text{Tambahan 2x Pesangon}) + \text{UPMK} + \text{UPH}
\]
\[
= (Rp72.000.000 + Rp144.000.000) + Rp32.000.000 + Rp4.000.000
\]
\[
= Rp216.000.000 + Rp32.000.000 + Rp4.000.000
\]
\[
= \boxed{Rp252.000.000}
\]
---
 4. Catatan Praktis
- Ahli waris adalah pihak yang berhak menerima manfaat ini.
- Jika perusahaan memiliki program pensiun manfaat pasti, manfaat dari program tersebut dapat diperhitungkan sebagai pengurang kewajiban pesangon sesuai ketentuan UUCK.
- Pastikan seluruh komponen upah yang digunakan sesuai definisi upah dalam peraturan (upah pokok + tunjangan tetap).
- Jika ada komponen lain (misal: tunjangan kematian, asuransi jiwa), sesuaikan dengan kebijakan perusahaan dan peraturan yang berlaku.
---
 5. Referensi Standar
- UU Cipta Kerja (UU No. 11 Tahun 2020)
- PP No. 35 Tahun 2021 (khusus Pasal 50 ayat (3))
- PSAK 24 (Imbalan Kerja)
- SAI 16 (Standar Aktuaria Indonesia)
---
 6. Saran Implementasi
- Dokumentasikan seluruh asumsi (upah, masa kerja, hak manfaat) dalam laporan aktuaria.
- Konsultasikan dengan HR dan Legal untuk memastikan perhitungan sesuai regulasi terbaru.
- Pisahkan perhitungan antara karyawan tetap, kontrak, pensiun, dan meninggal dunia untuk transparansi.
---
 7. Kesimpulan
Perhitungan manfaat PHK karena meninggal dunia sesuai UUCK terdiri dari 3 kali uang pesangon (1x pesangon + tambahan 2x pesangon), uang penghargaan masa kerja, dan uang penggantian hak, yang dihitung berdasarkan masa kerja dan upah terakhir.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</si>
  <si>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cacat/sakit berkepanjangan sesuai UUCK</t>
  </si>
  <si>
    <t>Anchor Answer ke Note
---
 1. Dasar Hukum dan Ketentuan UUCK
Menurut PP No. 35 Tahun 2021 Pasal 50 ayat (2), jika terjadi PHK karena karyawan mengalami cacat tetap atau sakit berkepanjangan akibat kecelakaan kerja atau karena sakit (yang dibuktikan dengan keterangan dokter), maka perusahaan wajib membayarkan:
- Uang Pesangon
- Uang Penghargaan Masa Kerja (UPMK)
- Uang Penggantian Hak (UPH)
- Tambahan 2 kali Uang Pesangon
Jadi, total pesangon yang diterima adalah 3 kali uang pesangon (1x pesangon + 2x tambahan), plus UPMK dan UPH.
---
 2. Komponen Manfaat PHK karena Cacat/Sakit Berkepanjangan
 a. Uang Pesangon
Besarannya sesuai masa kerja, mengacu pada tabel berikut:
| Masa Kerja (Tahun) | Pesangon (Kali Upah) |
|--------------------|----------------------|
| &lt; 1                | 1                    |
| ≥1 - &lt;2            | 2                    |
| ≥2 - &lt;3            | 3                    |
| ≥3 - &lt;4            | 4                    |
| ≥4 - &lt;5            | 5                    |
| ≥5 - &lt;6            | 6                    |
| ≥6 - &lt;7            | 7                    |
| ≥7 - &lt;8            | 8                    |
| ≥8                 | 9                    |
 b. Uang Penghargaan Masa Kerja (UPMK)
Diberikan jika masa kerja ≥3 tahun, sesuai tabel berikut:
| Masa Kerja (Tahun) | UPMK (Kali Upah) |
|--------------------|------------------|
| ≥3 - &lt;6            | 2                |
| ≥6 - &lt;9            | 3                |
| ≥9 - &lt;12           | 4                |
| ≥12 - &lt;15          | 5                |
| ≥15 - &lt;18          | 6                |
| ≥18 - &lt;21          | 7                |
| ≥21 - &lt;24          | 8                |
| ≥24                | 10               |
 c. Uang Penggantian Hak (UPH)
Sesuai hak-hak yang belum diambil, misal: cuti tahunan yang belum diambil, biaya pulang, dsb. Biasanya dihitung secara aktual.
 d. Tambahan 2 Kali Uang Pesangon
Sesuai PP 35/2021 Pasal 50 ayat (2), untuk PHK karena cacat tetap atau sakit berkepanjangan, pekerja berhak atas tambahan 2 kali uang pesangon.
---
 3. Contoh Praktis Perhitungan
 Kasus:
- Nama: Pak Budi
- Alasan PHK: Cacat tetap akibat kecelakaan kerja
- Masa kerja: 12 tahun
- Upah terakhir: Rp7.000.000 per bulan
- UPH: Diasumsikan Rp3.000.000 (misal sisa cuti dan biaya pulang)
 Langkah Perhitungan:
 a. Uang Pesangon
- Masa kerja 12 tahun → 9 kali upah
- Uang Pesangon = 9 × Rp7.000.000 = Rp63.000.000
 b. Tambahan 2 Kali Uang Pesangon
- Tambahan = 2 × Rp63.000.000 = Rp126.000.000
 c. Uang Penghargaan Masa Kerja (UPMK)
- Masa kerja 12 tahun → 5 kali upah
- UPMK = 5 × Rp7.000.000 = Rp35.000.000
 d. Uang Penggantian Hak (UPH)
- UPH = Rp3.000.000
---
 Total Manfaat PHK karena Cacat/Sakit Berkepanjangan
\[
\text{Total Manfaat} = (\text{Uang Pesangon} + \text{Tambahan 2x Pesangon}) + \text{UPMK} + \text{UPH}
\]
\[
= (Rp63.000.000 + Rp126.000.000) + Rp35.000.000 + Rp3.000.000
\]
\[
= Rp189.000.000 + Rp35.000.000 + Rp3.000.000
\]
\[
= \boxed{Rp227.000.000}
\]
---
 4. Catatan Praktis
- Dokumentasi medis: PHK karena sakit berkepanjangan harus didukung surat keterangan dokter.
- Ahli waris: Jika pekerja meninggal setelah cacat/sakit berkepanjangan, manfaat dibayarkan ke ahli waris.
- Program pensiun: Jika perusahaan memiliki program pensiun manfaat pasti, manfaat dari program tersebut dapat diperhitungkan sebagai pengurang kewajiban pesangon sesuai ketentuan UUCK.
- Komponen upah: Pastikan seluruh komponen upah yang digunakan sesuai definisi upah dalam peraturan (upah pokok + tunjangan tetap).
---
 5. Referensi Standar
- UU Cipta Kerja (UU No. 11 Tahun 2020)
- PP No. 35 Tahun 2021 (khusus Pasal 50 ayat (2))
- PSAK 24 (Imbalan Kerja)
- SAI 16 (Standar Aktuaria Indonesia)
---
 6. Saran Implementasi
- Dokumentasikan seluruh asumsi (upah, masa kerja, hak manfaat) dalam laporan aktuaria.
- Konsultasikan dengan HR dan Legal untuk memastikan perhitungan sesuai regulasi terbaru.
- Pisahkan perhitungan antara karyawan tetap, kontrak, pensiun, meninggal dunia, dan cacat/sakit berkepanjangan untuk transparansi.
---
 7. Kesimpulan
Perhitungan manfaat PHK karena cacat tetap atau sakit berkepanjangan sesuai UUCK terdiri dari 3 kali uang pesangon (1x pesangon + tambahan 2x pesangon), uang penghargaan masa kerja, dan uang penggantian hak, yang dihitung berdasarkan masa kerja dan upah terakhir.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</si>
  <si>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mengundurkan diri sesuai UUCK</t>
  </si>
  <si>
    <t>Anchor Answer ke Note
---
 1. Dasar Hukum dan Ketentuan UUCK
Berdasarkan PP No. 35 Tahun 2021 Pasal 50 ayat (1) huruf i, jika terjadi PHK karena pekerja mengundurkan diri atas kemauan sendiri dan memenuhi syarat (mengajukan permohonan secara tertulis paling lambat 30 hari sebelum tanggal mulai pengunduran diri, tidak terikat dalam ikatan dinas, dan tetap melaksanakan kewajibannya sampai tanggal mulai pengunduran diri), maka pekerja berhak atas:
- Uang Penggantian Hak (UPH)
- Uang Penghargaan Masa Kerja (UPMK) (jika masa kerja ≥ 3 tahun)
Catatan:  
Uang Pesangon TIDAK diberikan untuk kasus mengundurkan diri.
---
 2. Komponen Manfaat PHK karena Mengundurkan Diri
 a. Uang Penghargaan Masa Kerja (UPMK)
Diberikan jika masa kerja ≥ 3 tahun, sesuai tabel berikut:
| Masa Kerja (Tahun) | UPMK (Kali Upah) |
|--------------------|------------------|
| ≥3 - &lt;6            | 2                |
| ≥6 - &lt;9            | 3                |
| ≥9 - &lt;12           | 4                |
| ≥12 - &lt;15          | 5                |
| ≥15 - &lt;18          | 6                |
| ≥18 - &lt;21          | 7                |
| ≥21 - &lt;24          | 8                |
| ≥24                | 10               |
 b. Uang Penggantian Hak (UPH)
Sesuai hak-hak yang belum diambil, misal: cuti tahunan yang belum diambil, biaya pulang, dsb. Biasanya dihitung secara aktual.
---
 3. Contoh Praktis Perhitungan
 Kasus:
- Nama: Ibu Rina
- Alasan PHK: Mengundurkan diri secara sukarela dan memenuhi syarat
- Masa kerja: 7 tahun
- Upah terakhir: Rp6.000.000 per bulan
- UPH: Diasumsikan Rp2.500.000 (misal sisa cuti dan biaya pulang)
 Langkah Perhitungan:
 a. Uang Penghargaan Masa Kerja (UPMK)
- Masa kerja 7 tahun → 3 kali upah
- UPMK = 3 × Rp6.000.000 = Rp18.000.000
 b. Uang Penggantian Hak (UPH)
- UPH = Rp2.500.000
---
 Total Manfaat PHK karena Mengundurkan Diri
\[
\text{Total Manfaat} = \text{UPMK} + \text{UPH}
\]
\[
= Rp18.000.000 + Rp2.500.000
\]
\[
= \boxed{Rp20.500.000}
\]
---
 4. Catatan Praktis
- Uang pesangon tidak diberikan untuk kasus mengundurkan diri.
- Jika masa kerja &lt; 3 tahun, UPMK tidak diberikan, hanya UPH yang dibayarkan.
- Pastikan seluruh komponen upah yang digunakan sesuai definisi upah dalam peraturan (upah pokok + tunjangan tetap).
- Jika ada komponen lain (misal: tunjangan khusus, kompensasi lain), sesuaikan dengan kebijakan perusahaan dan peraturan yang berlaku.
---
 5. Referensi Standar
- UU Cipta Kerja (UU No. 11 Tahun 2020)
- PP No. 35 Tahun 2021 (khusus Pasal 50 ayat (1) huruf i)
- PSAK 24 (Imbalan Kerja)
- SAI 16 (Standar Aktuaria Indonesia)
---
 6. Saran Implementasi
- Dokumentasikan seluruh asumsi (upah, masa kerja, hak manfaat) dalam laporan aktuaria.
- Konsultasikan dengan HR dan Legal untuk memastikan perhitungan sesuai regulasi terbaru.
- Pisahkan perhitungan antara karyawan tetap, kontrak, pensiun, PHK, dan mengundurkan diri untuk transparansi.
---
 7. Kesimpulan
Perhitungan manfaat untuk karyawan yang mengundurkan diri sesuai UUCK terdiri dari uang penghargaan masa kerja (jika masa kerja ≥ 3 tahun) dan uang penggantian hak, tanpa uang pesangon.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</si>
  <si>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mengundurkan diri sesuai UUK</t>
  </si>
  <si>
    <t>Perhitungan UUK</t>
  </si>
  <si>
    <t>Anchor Answer ke Note
---
 1. Dasar Hukum dan Ketentuan UUK
Berdasarkan UU No. 13 Tahun 2003 Pasal 162 dan diperkuat oleh PP No. 35 Tahun 2021 Pasal 50 ayat (1) huruf i, jika pekerja mengundurkan diri atas kemauan sendiri dan memenuhi syarat administratif (mengajukan permohonan tertulis paling lambat 30 hari sebelum tanggal mulai pengunduran diri, tidak terikat ikatan dinas, dan tetap melaksanakan kewajiban sampai tanggal pengunduran diri), maka pekerja berhak atas:
- Uang Penggantian Hak (UPH)
- Uang Penghargaan Masa Kerja (UPMK) (jika masa kerja ≥ 3 tahun)
Catatan:  
Uang Pesangon TIDAK diberikan untuk kasus mengundurkan diri.
---
 2. Komponen Manfaat untuk Karyawan Mengundurkan Diri
 a. Uang Penghargaan Masa Kerja (UPMK)
Diberikan jika masa kerja ≥ 3 tahun, sesuai tabel berikut:
| Masa Kerja (Tahun) | UPMK (Kali Upah) |
|--------------------|------------------|
| ≥3 - &lt;6            | 2                |
| ≥6 - &lt;9            | 3                |
| ≥9 - &lt;12           | 4                |
| ≥12 - &lt;15          | 5                |
| ≥15 - &lt;18          | 6                |
| ≥18 - &lt;21          | 7                |
| ≥21 - &lt;24          | 8                |
| ≥24                | 10               |
 b. Uang Penggantian Hak (UPH)
Sesuai hak-hak yang belum diambil, misal: cuti tahunan yang belum diambil, biaya pulang, dsb. Biasanya dihitung secara aktual.
---
 3. Contoh Praktis Perhitungan
 Kasus:
- Nama: Pak Andi
- Alasan PHK: Mengundurkan diri secara sukarela dan memenuhi syarat administratif
- Masa kerja: 8 tahun
- Upah terakhir: Rp5.000.000 per bulan
- UPH: Diasumsikan Rp2.000.000 (misal sisa cuti dan biaya pulang)
 Langkah Perhitungan:
 a. Uang Penghargaan Masa Kerja (UPMK)
- Masa kerja 8 tahun → 3 kali upah
- UPMK = 3 × Rp5.000.000 = Rp15.000.000
 b. Uang Penggantian Hak (UPH)
- UPH = Rp2.000.000
---
 Total Manfaat untuk Karyawan Mengundurkan Diri
\[
\text{Total Manfaat} = \text{UPMK} + \text{UPH}
\]
\[
= Rp15.000.000 + Rp2.000.000
\]
\[
= \boxed{Rp17.000.000}
\]
---
 4. Catatan Praktis
- Uang pesangon tidak diberikan untuk kasus mengundurkan diri.
- Jika masa kerja &lt; 3 tahun, UPMK tidak diberikan, hanya UPH yang dibayarkan.
- Pastikan seluruh komponen upah yang digunakan sesuai definisi upah dalam peraturan (upah pokok + tunjangan tetap).
- Jika ada komponen lain (misal: tunjangan khusus, kompensasi lain), sesuaikan dengan kebijakan perusahaan dan peraturan yang berlaku.
---
 5. Referensi Standar
- UU No. 13 Tahun 2003 (Pasal 162)
- UU Cipta Kerja (UU No. 11 Tahun 2020)
- PP No. 35 Tahun 2021 (Pasal 50 ayat (1) huruf i)
- PSAK 24 (Imbalan Kerja)
- SAI 16 (Standar Aktuaria Indonesia)
---
 6. Saran Implementasi
- Dokumentasikan seluruh asumsi (upah, masa kerja, hak manfaat) dalam laporan aktuaria.
- Konsultasikan dengan HR dan Legal untuk memastikan perhitungan sesuai regulasi terbaru.
- Pisahkan perhitungan antara karyawan tetap, kontrak, pensiun, PHK, dan mengundurkan diri untuk transparansi.
---
 7. Kesimpulan
Perhitungan manfaat untuk karyawan yang mengundurkan diri sesuai UUK terdiri dari uang penghargaan masa kerja (jika masa kerja ≥ 3 tahun) dan uang penggantian hak, tanpa uang pesangon.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</si>
  <si>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pensiun normal sesuai UUK</t>
  </si>
  <si>
    <t>Anchor Answer ke Note
---
 1. Dasar Hukum dan Ketentuan UUK
Berdasarkan UU No. 13 Tahun 2003 Pasal 167 dan PP No. 35 Tahun 2021 Pasal 56, jika pekerja mengalami PHK karena pensiun (pensiun normal), maka pekerja berhak atas:
- Uang Pesangon
- Uang Penghargaan Masa Kerja (UPMK)
- Uang Penggantian Hak (UPH)
Catatan penting:
- Jika perusahaan menyelenggarakan program pensiun (misal: Dana Pensiun), dan manfaat pensiun yang diterima pekerja lebih kecil dari hak pesangon menurut UUK, maka perusahaan wajib membayar selisihnya.
- Jika manfaat pensiun lebih besar, maka perusahaan tidak wajib membayar pesangon.
---
 2. Komponen Manfaat PHK karena Pensiun Normal
 a. Uang Pesangon
Besarannya sesuai masa kerja, mengacu pada tabel berikut:
| Masa Kerja (Tahun) | Pesangon (Kali Upah) |
|--------------------|----------------------|
| &lt; 1                | 1                    |
| ≥1 - &lt;2            | 2                    |
| ≥2 - &lt;3            | 3                    |
| ≥3 - &lt;4            | 4                    |
| ≥4 - &lt;5            | 5                    |
| ≥5 - &lt;6            | 6                    |
| ≥6 - &lt;7            | 7                    |
| ≥7 - &lt;8            | 8                    |
| ≥8                 | 9                    |
 b. Uang Penghargaan Masa Kerja (UPMK)
Diberikan jika masa kerja ≥3 tahun, sesuai tabel berikut:
| Masa Kerja (Tahun) | UPMK (Kali Upah) |
|--------------------|------------------|
| ≥3 - &lt;6            | 2                |
| ≥6 - &lt;9            | 3                |
| ≥9 - &lt;12           | 4                |
| ≥12 - &lt;15          | 5                |
| ≥15 - &lt;18          | 6                |
| ≥18 - &lt;21          | 7                |
| ≥21 - &lt;24          | 8                |
| ≥24                | 10               |
 c. Uang Penggantian Hak (UPH)
Sesuai hak-hak yang belum diambil, misal: cuti tahunan yang belum diambil, biaya pulang, dsb. Biasanya dihitung secara aktual.
---
 3. Contoh Praktis Perhitungan
 Kasus:
- Nama: Pak Surya
- Alasan PHK: Pensiun normal (usia pensiun sesuai peraturan perusahaan)
- Masa kerja: 20 tahun
- Upah terakhir: Rp8.000.000 per bulan
- UPH: Diasumsikan Rp3.500.000 (misal sisa cuti dan biaya pulang)
- Manfaat pensiun dari Dana Pensiun: Rp100.000.000 (jika ada)
 Langkah Perhitungan:
 a. Uang Pesangon
- Masa kerja 20 tahun → 9 kali upah
- Uang Pesangon = 9 × Rp8.000.000 = Rp72.000.000
 b. Uang Penghargaan Masa Kerja (UPMK)
- Masa kerja 20 tahun → 8 kali upah
- UPMK = 8 × Rp8.000.000 = Rp64.000.000
 c. Uang Penggantian Hak (UPH)
- UPH = Rp3.500.000
---
 Total Manfaat PHK karena Pensiun Normal
\[
\text{Total Manfaat} = \text{Uang Pesangon} + \text{UPMK} + \text{UPH}
\]
\[
= Rp72.000.000 + Rp64.000.000 + Rp3.500.000
\]
\[
= \boxed{Rp139.500.000}
\]
---
 Jika Ada Program Pensiun Perusahaan
- Jika manfaat pensiun yang diterima dari Dana Pensiun lebih kecil dari Rp139.500.000, maka perusahaan wajib membayar selisihnya.
- Jika manfaat pensiun lebih besar atau sama, maka perusahaan tidak wajib membayar pesangon/UPMK/UPH lagi.
Contoh:
- Manfaat pensiun dari Dana Pensiun = Rp100.000.000
- Selisih yang harus dibayar perusahaan = Rp139.500.000 – Rp100.000.000 = Rp39.500.000
---
 4. Catatan Praktis
- Dokumentasi: Pastikan seluruh komponen upah yang digunakan sesuai definisi upah dalam peraturan (upah pokok + tunjangan tetap).
- Program pensiun: Selalu cek apakah perusahaan memiliki program pensiun dan manfaatnya.
- UPH: Hitung secara aktual sesuai hak pekerja yang belum diambil.
- Syarat usia pensiun: Sesuaikan dengan peraturan perusahaan atau perjanjian kerja bersama.
---
 5. Referensi Standar
- UU No. 13 Tahun 2003 (Pasal 167)
- UU Cipta Kerja (UU No. 11 Tahun 2020)
- PP No. 35 Tahun 2021 (Pasal 56)
- PSAK 24 (Imbalan Kerja)
- SAI 16 (Standar Aktuaria Indonesia)
---
 6. Saran Implementasi
- Dokumentasikan seluruh asumsi (upah, masa kerja, hak manfaat, manfaat pensiun) dalam laporan aktuaria.
- Konsultasikan dengan HR dan Legal untuk memastikan perhitungan sesuai regulasi terbaru.
- Pisahkan perhitungan antara karyawan pensiun, PHK, resign, dan meninggal dunia untuk transparansi.
---
 7. Kesimpulan
Perhitungan manfaat untuk karyawan yang pensiun normal sesuai UUK terdiri dari uang pesangon, uang penghargaan masa kerja, dan uang penggantian hak. Jika perusahaan memiliki program pensiun, manfaat pensiun dapat diperhitungkan sebagai pengurang kewajiban pesangon.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</si>
  <si>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meninggal dunia sesuai UUK</t>
  </si>
  <si>
    <t>Anchor Answer ke Note
---
 1. Dasar Hukum dan Ketentuan UUK
Berdasarkan:
- UU No. 13 Tahun 2003 Pasal 166
- PP No. 35 Tahun 2021 Pasal 54
Jika pekerja meninggal dunia, maka ahli waris berhak atas:
- Uang Pesangon (2x ketentuan normal)
- Uang Penghargaan Masa Kerja (UPMK)
- Uang Penggantian Hak (UPH)
- Santunan kematian (sebesar 2x upah + uang duka Rp10.000.000)
Catatan:  
Jika perusahaan memiliki program asuransi atau dana pensiun yang memberikan manfaat kematian, manfaat tersebut dapat diperhitungkan sebagai pengurang kewajiban perusahaan.
---
 2. Komponen Manfaat untuk Karyawan Meninggal Dunia
 a. Uang Pesangon
Diberikan 2 kali ketentuan normal sesuai masa kerja.
| Masa Kerja (Tahun) | Pesangon (Kali Upah) |
|--------------------|----------------------|
| &lt; 1                | 1                    |
| ≥1 - &lt;2            | 2                    |
| ≥2 - &lt;3            | 3                    |
| ≥3 - &lt;4            | 4                    |
| ≥4 - &lt;5            | 5                    |
| ≥5 - &lt;6            | 6                    |
| ≥6 - &lt;7            | 7                    |
| ≥7 - &lt;8            | 8                    |
| ≥8                 | 9                    |
Untuk kasus meninggal dunia, dikalikan 2.
 b. Uang Penghargaan Masa Kerja (UPMK)
Diberikan sesuai masa kerja (lihat tabel di atas).
 c. Uang Penggantian Hak (UPH)
Hak-hak yang belum diambil, misal: sisa cuti, biaya pulang, dsb.
 d. Santunan Kematian
- 2x upah  
- Uang duka: Rp10.000.000
---
 3. Contoh Praktis Perhitungan
 Kasus:
- Nama: Ibu Sari
- Meninggal dunia saat masih bekerja
- Masa kerja: 10 tahun
- Upah terakhir: Rp7.000.000 per bulan
- UPH: Diasumsikan Rp2.500.000 (misal sisa cuti dan biaya pulang)
- Perusahaan tidak memiliki program asuransi kematian tambahan
 Langkah Perhitungan:
 a. Uang Pesangon
- Masa kerja 10 tahun → 9 kali upah (lihat tabel)
- Normal: 9 × Rp7.000.000 = Rp63.000.000
- Karena meninggal dunia: 2 × Rp63.000.000 = Rp126.000.000
 b. Uang Penghargaan Masa Kerja (UPMK)
- Masa kerja 10 tahun → 4 kali upah
- UPMK = 4 × Rp7.000.000 = Rp28.000.000
 c. Uang Penggantian Hak (UPH)
- UPH = Rp2.500.000
 d. Santunan Kematian
- 2 × upah = 2 × Rp7.000.000 = Rp14.000.000
- Uang duka = Rp10.000.000
- Total santunan kematian = Rp14.000.000 + Rp10.000.000 = Rp24.000.000
---
 Total Manfaat untuk Ahli Waris
\[
\text{Total Manfaat} = \text{Uang Pesangon} + \text{UPMK} + \text{UPH} + \text{Santunan Kematian}
\]
\[
= Rp126.000.000 + Rp28.000.000 + Rp2.500.000 + Rp24.000.000
\]
\[
= \boxed{Rp180.500.000}
\]
---
 4. Catatan Praktis
- Jika perusahaan memiliki program asuransi kematian atau dana pensiun, manfaat yang diterima ahli waris dapat diperhitungkan sebagai pengurang kewajiban perusahaan.
- Dokumentasikan seluruh komponen upah (upah pokok + tunjangan tetap) sesuai peraturan.
- UPH dihitung aktual sesuai hak yang belum diambil.
- Santunan kematian wajib diberikan di luar pesangon dan UPMK.
---
 5. Referensi Standar
- UU No. 13 Tahun 2003 (Pasal 166)
- PP No. 35 Tahun 2021 (Pasal 54)
- PSAK 24 (Imbalan Kerja)
- SAI 16 (Standar Aktuaria Indonesia)
---
 6. Saran Implementasi
- Dokumentasikan seluruh asumsi (upah, masa kerja, hak manfaat, manfaat asuransi/dana pensiun) dalam laporan aktuaria.
- Konsultasikan dengan HR dan Legal untuk memastikan perhitungan sesuai regulasi terbaru.
- Pisahkan perhitungan antara karyawan meninggal dunia, pensiun, PHK, dan resign untuk transparansi.
---
 7. Kesimpulan
Perhitungan manfaat untuk karyawan yang meninggal dunia sesuai UUK terdiri dari:
- Uang pesangon (2x ketentuan normal)
- Uang penghargaan masa kerja
- Uang penggantian hak
- Santunan kematian (2x upah + uang duka Rp10 juta)
Contoh di atas memberikan gambaran praktis perhitungan yang dapat disesuaikan dengan kasus nyata di perusahaan Anda.
---
Jika Anda membutuhkan template Excel atau simulasi untuk berbagai masa kerja dan upah, silakan informasikan kebutuhan spesifik Anda.</t>
  </si>
  <si>
    <t>berikan contoh perhitungan yang harus dibayarkan untuk karyawan cacat/sakit berkepanjangan sesuai UUK</t>
  </si>
  <si>
    <t>Anchor Answer ke Note
---
 1. Dasar Hukum dan Ketentuan UUK
Berdasarkan:
- UU No. 13 Tahun 2003 Pasal 172
- PP No. 35 Tahun 2021 Pasal 52
Jika pekerja mengalami cacat tetap atau sakit berkepanjangan yang menyebabkan tidak dapat bekerja setelah melewati batas waktu cuti sakit (12 bulan berturut-turut), maka pengusaha dapat melakukan PHK dan pekerja berhak atas:
- Uang Pesangon (2x ketentuan normal)
- Uang Penghargaan Masa Kerja (UPMK)
- Uang Penggantian Hak (UPH)
Catatan:  
Jika perusahaan memiliki program asuransi kecelakaan kerja atau program jaminan sosial (misal: BPJS Ketenagakerjaan/JKK), manfaat yang diterima pekerja dapat diperhitungkan sebagai pengurang kewajiban perusahaan.
---
 2. Komponen Manfaat PHK karena Cacat Tetap/Sakit Berkepanjangan
 a. Uang Pesangon
Diberikan 2 kali ketentuan normal sesuai masa kerja.
| Masa Kerja (Tahun) | Pesangon (Kali Upah) |
|--------------------|----------------------|
| &lt; 1                | 1                    |
| ≥1 - &lt;2            | 2                    |
| ≥2 - &lt;3            | 3                    |
| ≥3 - &lt;4            | 4                    |
| ≥4 - &lt;5            | 5                    |
| ≥5 - &lt;6            | 6                    |
| ≥6 - &lt;7            | 7                    |
| ≥7 - &lt;8            | 8                    |
| ≥8                 | 9                    |
Untuk kasus cacat tetap/sakit berkepanjangan, dikalikan 2.
 b. Uang Penghargaan Masa Kerja (UPMK)
Diberikan sesuai masa kerja:
| Masa Kerja (Tahun) | UPMK (Kali Upah) |
|--------------------|------------------|
| ≥3 - &lt;6            | 2                |
| ≥6 - &lt;9            | 3                |
| ≥9 - &lt;12           | 4                |
| ≥12 - &lt;15          | 5                |
| ≥15 - &lt;18          | 6                |
| ≥18 - &lt;21          | 7                |
| ≥21 - &lt;24          | 8                |
| ≥24                | 10               |
 c. Uang Penggantian Hak (UPH)
Hak-hak yang belum diambil, misal: sisa cuti, biaya pulang, dsb.
---
 3. Contoh Praktis Perhitungan
 Kasus:
- Nama: Pak Budi
- Alasan PHK: Cacat tetap akibat kecelakaan kerja (tidak dapat bekerja kembali)
- Masa kerja: 11 tahun
- Upah terakhir: Rp6.000.000 per bulan
- UPH: Diasumsikan Rp2.000.000 (misal sisa cuti dan biaya pulang)
- Manfaat JKK/BPJS Ketenagakerjaan: Rp50.000.000 (jika ada)
 Langkah Perhitungan:
 a. Uang Pesangon
- Masa kerja 11 tahun → 9 kali upah (lihat tabel)
- Normal: 9 × Rp6.000.000 = Rp54.000.000
- Karena cacat tetap/sakit berkepanjangan: 2 × Rp54.000.000 = Rp108.000.000
 b. Uang Penghargaan Masa Kerja (UPMK)
- Masa kerja 11 tahun → 4 kali upah
- UPMK = 4 × Rp6.000.000 = Rp24.000.000
 c. Uang Penggantian Hak (UPH)
- UPH = Rp2.000.000
---
 Total Manfaat PHK karena Cacat Tetap/Sakit Berkepanjangan
\[
\text{Total Manfaat} = \text{Uang Pesangon} + \text{UPMK} + \text{UPH}
\]
\[
= Rp108.000.000 + Rp24.000.000 + Rp2.000.000
\]
\[
= \boxed{Rp134.000.000}
\]
---
 Jika Ada Manfaat dari BPJS Ketenagakerjaan/JKK
- Jika manfaat JKK (misal: Rp50.000.000) lebih kecil dari Rp134.000.000, maka perusahaan wajib membayar selisihnya.
- Jika manfaat JKK lebih besar atau sama, maka perusahaan tidak wajib membayar pesangon/UPMK/UPH lagi.
Contoh:
- Manfaat JKK = Rp50.000.000
- Selisih yang harus dibayar perusahaan = Rp134.000.000 – Rp50.000.000 = Rp84.000.000
---
 4. Catatan Praktis
- Dokumentasikan seluruh komponen upah (upah pokok + tunjangan tetap) sesuai peraturan.
- UPH dihitung aktual sesuai hak yang belum diambil.
- Manfaat asuransi/JKK dapat diperhitungkan sebagai pengurang kewajiban perusahaan.
- Cacat tetap harus dibuktikan dengan surat keterangan dokter dan/atau hasil pemeriksaan medis.
---
 5. Referensi Standar
- UU No. 13 Tahun 2003 (Pasal 172)
- PP No. 35 Tahun 2021 (Pasal 52)
- PSAK 24 (Imbalan Kerja)
- SAI 16 (Standar Aktuaria Indonesia)
---
 6. Saran Implementasi
- Dokumentasikan seluruh asumsi (upah, masa kerja, hak manfaat, manfaat asuransi/JKK) dalam laporan aktuaria.
- Konsultasikan dengan HR dan Legal untuk memastikan perhitungan sesuai regulasi terbaru.
- Pisahkan perhitungan antara karyawan cacat tetap, meninggal dunia, pensiun, PHK, dan resign untuk transparansi.
---
 7. Kesimpulan
Perhitungan manfaat untuk karyawan yang mengalami cacat tetap atau sakit berkepanjangan sesuai UUK terdiri dari:
- Uang pesangon (2x ketentuan normal)
- Uang penghargaan masa kerja
- Uang penggantian hak
Jika ada manfaat dari program asuransi atau BPJS Ketenagakerjaan, manfaat tersebut dapat diperhitungkan sebagai pengurang kewajiban perusahaan.
---
Jika Anda membutuhkan template Excel atau simulasi untuk berbagai masa kerja dan upah, silakan informasikan kebutuhan spesifik Anda.</t>
  </si>
  <si>
    <t>berikan contoh perhitungan menggunakan metode PUC</t>
  </si>
  <si>
    <t>PUC</t>
  </si>
  <si>
    <t>Tentu, berikut penjelasan komprehensif mengenai metode Projected Unit Credit (PUC) beserta contoh perhitungan, referensi standar aktuaria, dan saran implementasi.
---
 1. Penjelasan Metode Projected Unit Credit (PUC)
Metode Projected Unit Credit (PUC) adalah salah satu metode aktuaria yang digunakan untuk menghitung kewajiban imbalan kerja (misal: pensiun) berdasarkan proyeksi manfaat yang akan diterima peserta di masa depan, dengan mengalokasikan biaya manfaat tersebut secara proporsional terhadap masa kerja peserta.
Karakteristik utama metode PUC:
- Manfaat dihitung berdasarkan proyeksi gaji terakhir (atau gaji pada saat pensiun).
- Kewajiban dihitung secara proporsional terhadap masa kerja yang telah dilalui hingga tanggal penilaian.
- Setiap tahun kerja menghasilkan satu unit manfaat, dan setiap unit dihitung berdasarkan gaji yang diproyeksikan.
---
 2. Contoh Praktis Perhitungan PUC
Asumsi:
- Karyawan A, usia saat ini: 35 tahun
- Usia pensiun normal: 55 tahun
- Masa kerja saat ini: 10 tahun
- Gaji saat ini: Rp 10.000.000 per bulan
- Proyeksi kenaikan gaji tahunan: 5%
- Formula manfaat pensiun: 2% × gaji terakhir × masa kerja
- Diskonto aktuaria: 6% per tahun
Langkah-langkah perhitungan:
 A. Proyeksi Gaji pada Usia Pensiun
Gaji pada usia pensiun (20 tahun lagi):
\[
Gaji_{pensiun} = Gaji_{sekarang} \times (1 + kenaikan\ gaji)^{20}
\]
\[
= Rp 10.000.000 \times (1 + 0,05)^{20} \approx Rp 10.000.000 \times 2,653 = Rp 26.530.000
\]
 B. Hitung Manfaat Pensiun Akhir
Total masa kerja pada pensiun = 10 (saat ini) + 20 (sisa) = 30 tahun
\[
Manfaat\ pensiun = 2\% \times Gaji_{pensiun} \times Masa\ kerja
\]
\[
= 2\% \times Rp 26.530.000 \times 30 = 0,02 \times 26.530.000 \times 30 = Rp 15.918.000
\]
 C. Hitung Kewajiban PUC per Tanggal Penilaian
PUC mengalokasikan manfaat berdasarkan masa kerja yang telah dilalui:
\[
Kewajiban\ saat\ ini = Manfaat\ pensiun \times \frac{Masa\ kerja\ saat\ ini}{Total\ masa\ kerja}
\]
\[
= Rp 15.918.000 \times \frac{10}{30} = Rp 5.306.000
\]
 D. Diskontokan ke Nilai Saat Ini
Karena manfaat baru dibayarkan 20 tahun lagi, nilai sekarang dihitung dengan diskonto 6%:
\[
Nilai\ sekarang = \frac{Rp 5.306.000}{(1 + 0,06)^{20}} \approx \frac{Rp 5.306.000}{3,207} \approx Rp 1.655.000
\]
Jadi, kewajiban imbalan kerja (PUC) untuk karyawan A saat ini adalah sekitar Rp 1.655.000.
---
 3. Referensi Standar Aktuaria
- PSAK 24 (Indonesia): Mengatur pengukuran imbalan kerja dengan metode PUC sebagai metode wajib untuk menghitung kewajiban imbalan pasti.
- IAS 19 (International Accounting Standard): Juga mewajibkan penggunaan metode PUC untuk pengukuran kewajiban imbalan kerja.
- PSAK 24 Paragraf 57: “Entitas harus menggunakan metode Projected Unit Credit untuk menentukan nilai kini kewajiban imbalan pasti dan biaya jasa kini terkait.”
---
 4. Saran Implementasi
- Kumpulkan data lengkap: Pastikan data karyawan (usia, masa kerja, gaji, proyeksi kenaikan gaji) akurat.
- Gunakan perangkat lunak aktuaria: Untuk perhitungan massal dan simulasi skenario.
- Konsultasi dengan aktuaria profesional: Untuk memastikan asumsi dan metode sesuai standar.
- Lakukan review berkala: Update asumsi ekonomi (diskonto, kenaikan gaji) secara periodik.
---
 Kesimpulan
Metode PUC adalah metode standar internasional untuk menghitung kewajiban imbalan kerja, dengan mengalokasikan manfaat secara proporsional terhadap masa kerja dan memperhitungkan proyeksi gaji. Implementasi yang tepat akan memastikan laporan keuangan perusahaan sesuai standar akuntansi dan aktuaria yang berlaku.
---
Referensi:
- PSAK 24: Imbalan Kerja
- IAS 19: Employee Benefits
- Buku “Matematika Aktuaria” oleh Bowers et al.
Jika Anda membutuhkan template Excel atau perangkat lunak untuk perhitungan, silakan informasikan lebih lanjut.</t>
  </si>
  <si>
    <t>berikan contoh perhitungan PUC dalam menentukan PVDBO dan CSC</t>
  </si>
  <si>
    <t>Tentu, berikut penjelasan komprehensif mengenai perhitungan metode Projected Unit Credit (PUC) untuk menentukan PVDBO (Present Value of Defined Benefit Obligation) dan CSC (Current Service Cost), sesuai standar aktuaria dan praktik terbaik.
---
 1. Penjelasan Konsep
 a. PVDBO (Present Value of Defined Benefit Obligation)
PVDBO adalah nilai kini dari seluruh kewajiban imbalan pasti yang telah diakumulasi hingga tanggal penilaian, berdasarkan proyeksi manfaat di masa depan dan memperhitungkan masa kerja yang telah dilalui.
 b. CSC (Current Service Cost)
CSC adalah biaya jasa kini, yaitu nilai kini dari manfaat imbalan pasti yang diperoleh karyawan selama periode berjalan (misal: 1 tahun terakhir).
---
 2. Langkah Perhitungan PUC untuk PVDBO dan CSC
 Asumsi Contoh
- Usia karyawan saat ini: 35 tahun
- Usia pensiun: 55 tahun
- Masa kerja saat ini: 10 tahun
- Gaji saat ini: Rp 10.000.000/bulan
- Kenaikan gaji tahunan: 5%
- Formula manfaat: 2% × gaji terakhir × masa kerja
- Tingkat diskonto: 6% per tahun
---
 A. Proyeksi Gaji pada Usia Pensiun
\[
Gaji_{pensiun} = Gaji_{sekarang} \times (1 + kenaikan\ gaji)^{20}
\]
\[
= Rp 10.000.000 \times (1,05)^{20} \approx Rp 26.530.000
\]
---
 B. Hitung Manfaat Pensiun Akhir
Total masa kerja pada pensiun = 10 (saat ini) + 20 (sisa) = 30 tahun
\[
Manfaat\ pensiun = 2\% \times Gaji_{pensiun} \times Masa\ kerja
\]
\[
= 0,02 \times Rp 26.530.000 \times 30 = Rp 15.918.000
\]
---
 C. Hitung PVDBO (Kewajiban Imbalan Pasti)
PUC mengalokasikan manfaat berdasarkan masa kerja yang telah dilalui:
\[
PVDBO = Manfaat\ pensiun \times \frac{Masa\ kerja\ saat\ ini}{Total\ masa\ kerja}
\]
\[
= Rp 15.918.000 \times \frac{10}{30} = Rp 5.306.000
\]
Diskontokan ke nilai saat ini (20 tahun sebelum pensiun):
\[
PVDBO_{sekarang} = \frac{Rp 5.306.000}{(1 + 0,06)^{20}} \approx \frac{Rp 5.306.000}{3,207} \approx Rp 1.655.000
\]
---
 D. Hitung CSC (Current Service Cost)
CSC adalah nilai kini dari manfaat yang diperoleh selama 1 tahun kerja berikutnya.
- Masa kerja tahun depan: 11 tahun
- Proporsi manfaat tahun depan: \(\frac{11}{30} - \frac{10}{30} = \frac{1}{30}\)
- Manfaat tahun depan: \(Rp 15.918.000 \times \frac{1}{30} = Rp 530.600\)
- Diskonto ke saat ini (19 tahun sebelum pensiun):
\[
CSC = \frac{Rp 530.600}{(1 + 0,06)^{19}} \approx \frac{Rp 530.600}{3,029} \approx Rp 175.200
\]
---
 3. Ringkasan Hasil
| Komponen | Nilai (Rp) |
|----------|------------|
| PVDBO | 1.655.000  |
| CSC   | 175.200    |
---
 4. Referensi Standar Aktuaria
- PSAK 24 (Indonesia): Mengatur penggunaan metode PUC untuk pengukuran PVDBO dan CSC.
- IAS 19: Standar internasional yang juga mewajibkan metode PUC.
- PSAK 24 Paragraf 57: “Entitas harus menggunakan metode Projected Unit Credit untuk menentukan nilai kini kewajiban imbalan pasti dan biaya jasa kini terkait.”
---
 5. Saran Implementasi
- Pastikan data karyawan lengkap dan akurat (usia, masa kerja, gaji, proyeksi kenaikan gaji).
- Gunakan perangkat lunak aktuaria untuk perhitungan massal dan simulasi.
- Konsultasikan asumsi (diskonto, kenaikan gaji, mortalitas) dengan aktuaria profesional.
- Lakukan review berkala terhadap asumsi ekonomi dan demografi.
---
 6. Kesimpulan
Metode PUC membagi manfaat pensiun secara proporsional terhadap masa kerja, lalu mendiskontokan ke nilai saat ini untuk mendapatkan PVDBO dan CSC. Metode ini adalah standar internasional (PSAK 24/IAS 19) dan wajib digunakan untuk pelaporan keuangan imbalan kerja.
---
Referensi:
- PSAK 24: Imbalan Kerja
- IAS 19: Employee Benefits
- Buku “Matematika Aktuaria” oleh Bowers et al.
Jika Anda membutuhkan template Excel atau simulasi lebih lanjut, silakan informasikan.</t>
  </si>
  <si>
    <t>apakah terdapat metode lain yang dapat digunakan dalam melakukan perhitungan</t>
  </si>
  <si>
    <t>Metode Perhitungan</t>
  </si>
  <si>
    <t>No Note
Tentu, berikut jawaban komprehensif mengenai metode lain dalam perhitungan kewajiban imbalan pasti (selain Projected Unit Credit/PUC), baik dari sisi teori maupun praktik, sesuai standar aktuaria dan akuntansi yang berlaku.
---
 1. Penjelasan Umum
Dalam praktik aktuaria, khususnya untuk pengukuran kewajiban imbalan pasti (seperti pensiun), terdapat beberapa metode aktuaria yang pernah digunakan. Namun, standar akuntansi dan aktuaria modern (misal: PSAK 24 di Indonesia, IAS 19 secara internasional) mewajibkan penggunaan metode Projected Unit Credit (PUC) untuk pelaporan keuangan. Meski demikian, pemahaman tentang metode lain tetap penting, baik untuk tujuan historis, perbandingan, maupun aplikasi non-akuntansi.
---
 2. Metode Lain yang Pernah Digunakan
 a. Accrued Benefit Cost Method (ABCM) / Unit Credit (UC)
- Konsep: Menghitung kewajiban berdasarkan manfaat yang telah diakumulasi hingga tanggal penilaian, TANPA proyeksi kenaikan gaji di masa depan.
- Aplikasi: Lebih konservatif, karena hanya memperhitungkan gaji saat ini.
- Kapan digunakan: Kadang untuk tujuan funding (pendanaan) atau perbandingan, namun TIDAK digunakan untuk pelaporan keuangan menurut PSAK 24/IAS 19.
 b. Entry Age Normal (EAN)
- Konsep: Menyebarkan biaya manfaat secara merata selama masa kerja karyawan, mulai dari usia masuk kerja hingga usia pensiun.
- Varian: Ada dua pendekatan utama: level percentage of salary dan level dollar.
- Aplikasi: Sering digunakan untuk perencanaan pendanaan dana pensiun (funding valuation), bukan untuk pelaporan keuangan.
 c. Aggregate Cost Method
- Konsep: Menghitung biaya secara kolektif untuk seluruh peserta, bukan individu, dengan membandingkan nilai kini seluruh manfaat masa depan dengan nilai kini iuran masa depan.
- Aplikasi: Umumnya untuk perencanaan pendanaan, bukan pelaporan keuangan.
 d. Individual Level Premium Method
- Konsep: Menentukan premi tetap per individu yang, jika dibayarkan selama masa kerja, akan mencukupi untuk membayar manfaat pensiun.
- Aplikasi: Lebih sering digunakan dalam asuransi jiwa atau dana pensiun individu.
---
 3. Perbandingan dengan PUC
| Metode                | Proyeksi Gaji | Alokasi Biaya | Umum untuk Pelaporan Keuangan? |
|-----------------------|---------------|---------------|-------------------------------|
| Projected Unit Credit | Ya            | Proporsional  | YA (wajib PSAK 24/IAS 19)     |
| Unit Credit           | Tidak         | Proporsional  | Tidak                         |
| Entry Age Normal      | Ya            | Merata        | Tidak                         |
| Aggregate             | Ya            | Kolektif      | Tidak                         |
---
 4. Referensi Standar Aktuaria
- PSAK 24 Paragraf 57: “Entitas harus menggunakan metode Projected Unit Credit untuk menentukan nilai kini kewajiban imbalan pasti dan biaya jasa kini terkait.”
- IAS 19 Paragraf 67: “The projected unit credit method shall be used to determine the present value of defined benefit obligations...”
- Buku “Matematika Aktuaria” (Bowers et al.): Menjelaskan berbagai metode aktuaria dan aplikasinya.
---
 5. Saran Implementasi Praktis
- Untuk pelaporan keuangan: Gunakan metode PUC sesuai standar.
- Untuk tujuan lain (funding, stress test, perbandingan): Anda dapat menggunakan metode lain seperti Entry Age Normal atau Aggregate, namun pastikan hasilnya tidak digunakan untuk pelaporan keuangan eksternal.
- Konsultasikan dengan aktuaria profesional: Untuk memilih metode yang tepat sesuai tujuan dan regulasi yang berlaku.
---
 6. Kesimpulan
Walaupun terdapat beberapa metode aktuaria lain (Unit Credit, Entry Age Normal, Aggregate, dsb.), hanya metode Projected Unit Credit (PUC) yang diakui dan diwajibkan untuk pelaporan keuangan imbalan pasti menurut PSAK 24/IAS 19. Metode lain dapat digunakan untuk tujuan pendanaan atau analisis internal, namun tidak untuk pelaporan keuangan eksternal.
---
Referensi:
- PSAK 24: Imbalan Kerja
- IAS 19: Employee Benefits
- Bowers et al., “Actuarial Mathematics”
Jika Anda membutuhkan contoh perhitungan dengan metode lain atau ingin membandingkan hasilnya, silakan informasikan kebutuhan spesifik Anda.</t>
  </si>
  <si>
    <t>Apa kegunaan maturity analysis?</t>
  </si>
  <si>
    <t>Maturity</t>
  </si>
  <si>
    <t>No Note
Tentu, berikut penjelasan komprehensif mengenai kegunaan maturity analysis dalam konteks aktuaria, khususnya terkait kewajiban imbalan pasti (seperti pensiun), baik dari sisi teori maupun praktik, serta relevansinya dengan standar akuntansi dan aktuaria.
---
 1. Definisi Maturity Analysis
Maturity analysis adalah analisis yang menunjukkan profil jatuh tempo (maturity) dari arus kas keluar yang diharapkan terkait kewajiban imbalan pasti (misal: pembayaran pensiun, pesangon, atau manfaat pasca-kerja lainnya) selama periode waktu tertentu di masa depan.
---
 2. Kegunaan Maturity Analysis
 A. Manajemen Risiko dan Likuiditas
- Mengidentifikasi kapan dan berapa besar pembayaran manfaat akan terjadi di masa depan.
- Membantu perusahaan atau dana pensiun menyusun strategi pendanaan dan memastikan ketersediaan dana saat manfaat jatuh tempo.
- Mengelola risiko likuiditas, yaitu risiko tidak tersedianya dana saat pembayaran manfaat diperlukan.
 B. Pengungkapan dalam Laporan Keuangan
- PSAK 24/IAS 19 mewajibkan pengungkapan maturity analysis atas kewajiban imbalan pasti, agar pengguna laporan keuangan memahami profil jatuh tempo arus kas keluar.
- Membantu auditor, regulator, dan pemangku kepentingan lain menilai kemampuan perusahaan memenuhi kewajiban jangka panjang.
 C. Penentuan Strategi Investasi
- Dengan mengetahui kapan pembayaran manfaat akan terjadi, perusahaan atau dana pensiun dapat menyesuaikan portofolio investasinya (asset-liability matching) agar aset yang dimiliki jatuh tempo sesuai dengan kebutuhan pembayaran manfaat.
 D. Perencanaan Keuangan dan Stress Testing
- Maturity analysis digunakan untuk simulasi skenario (stress testing), misal: bagaimana dampak perubahan asumsi mortalitas, kenaikan gaji, atau tingkat diskonto terhadap profil pembayaran manfaat.
- Membantu dalam perencanaan arus kas dan pengambilan keputusan strategis.
---
 3. Contoh Praktis
Misal, maturity analysis menunjukkan bahwa:
- Tahun ke-1: pembayaran manfaat diperkirakan Rp 100 juta
- Tahun ke-2: Rp 120 juta
- Tahun ke-3: Rp 150 juta
- Tahun ke-4 dst.: meningkat sesuai proyeksi
Dengan informasi ini, perusahaan dapat:
- Menyusun jadwal pendanaan (funding schedule)
- Menyiapkan investasi yang jatuh tempo sesuai kebutuhan pembayaran
- Mengantisipasi kebutuhan likuiditas di masa depan
---
 4. Referensi Standar Aktuaria dan Akuntansi
- PSAK 24 Paragraf 147 (Indonesia): Mengharuskan entitas mengungkapkan maturity profile dari kewajiban imbalan pasti, misalnya analisis jatuh tempo arus kas keluar yang diharapkan.
- IAS 19 Paragraf 147: “An entity shall disclose a maturity analysis of the defined benefit obligation showing the undiscounted benefits expected to be paid in each of the first five years and in total thereafter.”
- IFRS 7 (untuk instrumen keuangan): Juga mewajibkan maturity analysis untuk kewajiban keuangan.
---
 5. Saran Implementasi
- Kumpulkan data peserta secara lengkap (usia, masa kerja, status aktif/pensiun).
- Gunakan perangkat lunak aktuaria untuk memproyeksikan arus kas keluar berdasarkan asumsi mortalitas, kenaikan gaji, dan lain-lain.
- Update maturity analysis secara berkala sesuai perubahan data dan asumsi.
- Sampaikan maturity analysis dalam laporan keuangan sesuai ketentuan PSAK 24/IAS 19.
---
 6. Kesimpulan
Maturity analysis sangat penting untuk:
- Pengelolaan risiko likuiditas dan pendanaan
- Pengungkapan transparan dalam laporan keuangan
- Perencanaan investasi dan arus kas
- Pengambilan keputusan strategis oleh manajemen dan pemangku kepentingan
Analisis ini merupakan bagian integral dari tata kelola keuangan perusahaan yang memiliki kewajiban imbalan pasti.
---
Referensi:
- PSAK 24: Imbalan Kerja (Paragraf 147)
- IAS 19: Employee Benefits (Paragraf 147)
- IFRS 7: Financial Instruments: Disclosures
Jika Anda membutuhkan contoh format maturity analysis atau template pelaporan, silakan informasikan lebih lanjut.</t>
  </si>
  <si>
    <t>Bagaimana jika terdapat kelebihan bayar untuk karyawan dimasa depan?</t>
  </si>
  <si>
    <t>Combine Support dengan Note
Tentu, berikut penjelasan komprehensif mengenai bagaimana jika terdapat kelebihan bayar (overpayment) untuk karyawan di masa depan dalam konteks aktuaria dan pelaporan kewajiban imbalan pasti, meskipun dokumen yang Anda lampirkan tidak memuat informasi spesifik, saya akan mengacu pada standar praktik dan pengetahuan aktuaria yang berlaku.
---
 1. Definisi Kelebihan Bayar (Overpayment) dalam Konteks Imbalan Kerja
Kelebihan bayar (overpayment) terjadi apabila perusahaan membayarkan manfaat kepada karyawan lebih besar dari yang seharusnya, baik karena kesalahan perhitungan, perubahan data, atau perubahan kebijakan. Dalam konteks imbalan pasti (pensiun, pesangon, dsb.), ini bisa terjadi pada saat pembayaran manfaat pensiun, pesangon, atau manfaat pasca-kerja lainnya.
---
 2. Dampak Kelebihan Bayar dalam Praktik Aktuaria dan Akuntansi
 A. Dampak pada Kewajiban Aktuaria
- Pengurangan Kewajiban: Jika terjadi kelebihan bayar, maka kewajiban (PVDBO) perusahaan terhadap karyawan tersebut akan berkurang sebesar jumlah yang telah dibayarkan lebih.
- Penyesuaian Perhitungan: Aktuaris perlu melakukan penyesuaian pada perhitungan kewajiban di masa depan, dengan mengurangi nilai manfaat yang masih harus dibayarkan.
 B. Dampak pada Laporan Keuangan
- Pengakuan dalam Akuntansi: Berdasarkan PSAK 24/IAS 19, jika terjadi pembayaran manfaat yang lebih besar dari kewajiban yang diakui, selisihnya dapat diakui sebagai aset (jika dapat dipulihkan) atau sebagai beban (jika tidak dapat dipulihkan).
- Pengungkapan: Perusahaan wajib mengungkapkan adanya kelebihan bayar dan perlakuan akuntansinya dalam catatan atas laporan keuangan.
 C. Perlakuan atas Kelebihan Bayar
- Pemulihan (Recovery): Jika kelebihan bayar dapat dipulihkan (misal: karyawan mengembalikan kelebihan tersebut), maka perusahaan dapat mengakui piutang.
- Tidak Dapat Dipulihkan: Jika tidak dapat dipulihkan (misal: karyawan sudah meninggal atau tidak bersedia mengembalikan), maka kelebihan bayar diakui sebagai beban pada periode terjadinya.
---
 3. Contoh Praktis
Misal:  
- Kewajiban pensiun yang seharusnya dibayarkan kepada karyawan A adalah Rp 100 juta.
- Karena kesalahan administrasi, perusahaan membayar Rp 110 juta.
- Kelebihan bayar: Rp 10 juta.
Perlakuan:
- Kewajiban perusahaan kepada karyawan A menjadi 0 (karena sudah dibayar penuh).
- Rp 10 juta kelebihan bayar:
  - Jika dapat ditagih kembali: diakui sebagai piutang.
  - Jika tidak dapat ditagih: diakui sebagai beban pada laporan laba rugi.
---
 4. Referensi Standar Akuntansi dan Aktuaria
- PSAK 24/IAS 19: Mengatur pengakuan, pengukuran, dan pengungkapan manfaat imbalan pasti, termasuk penyesuaian jika terjadi perubahan manfaat atau pembayaran manfaat yang tidak sesuai.
- PSAK 24 Paragraf 109-110: Mengatur perlakuan atas pembayaran manfaat yang terjadi sebelum waktu yang dijadwalkan (settlement).
- IAS 19 Paragraf 109-110: “When a plan settlement occurs, an entity shall recognize a gain or loss on the settlement...”
---
 5. Saran Implementasi Praktis
- Verifikasi Data dan Proses Pembayaran: Pastikan proses pembayaran manfaat dilakukan dengan verifikasi berlapis untuk meminimalkan risiko kelebihan bayar.
- Catat dan Laporkan Kelebihan Bayar: Segera catat kelebihan bayar dalam sistem keuangan dan lakukan upaya penagihan jika memungkinkan.
- Penyesuaian Kewajiban Aktuaria: Aktuaris harus memperbarui perhitungan kewajiban dengan mengurangi manfaat yang telah dibayarkan lebih.
- Pengungkapan Transparan: Jelaskan dalam catatan laporan keuangan mengenai kelebihan bayar dan langkah yang diambil.
---
 6. Kesimpulan
Kelebihan bayar kepada karyawan di masa depan harus segera diidentifikasi, dicatat, dan diproses sesuai standar akuntansi dan aktuaria. Kelebihan tersebut dapat mengurangi kewajiban perusahaan, dan jika tidak dapat dipulihkan, diakui sebagai beban. Proses administrasi dan pengendalian internal yang baik sangat penting untuk mencegah dan menangani kasus kelebihan bayar.
---
Referensi:
- PSAK 24: Imbalan Kerja (Paragraf 109-110)
- IAS 19: Employee Benefits (Paragraf 109-110)
- Praktik aktuaria umum
Jika Anda membutuhkan template jurnal akuntansi atau simulasi penyesuaian aktuaria atas kelebihan bayar, silakan informasikan kebutuhan Anda.</t>
  </si>
  <si>
    <t>bagaimana jika jumlah pembayaran yang dikeluarkan lebih besar dari pada kewajibannya?</t>
  </si>
  <si>
    <t>Combine Support dengan Note
Tentu, berikut jawaban komprehensif mengenai perlakuan jika jumlah pembayaran yang dikeluarkan lebih besar daripada kewajibannya dalam konteks aktuaria dan pelaporan keuangan imbalan pasti, berdasarkan standar praktik dan pengetahuan umum aktuaria, karena dokumen yang Anda lampirkan tidak memuat informasi spesifik.
---
 1. Definisi Masalah
Jika perusahaan membayar manfaat (misal: pensiun, pesangon, atau imbalan pasca-kerja lain) lebih besar daripada kewajiban yang telah diakui (overpayment), maka terjadi selisih negatif antara pembayaran aktual dan nilai kewajiban yang tercatat dalam laporan keuangan.
---
 2. Dampak dan Perlakuan Akuntansi
 A. Pengakuan Selisih (Overpayment)
- Jika pembayaran lebih besar dari kewajiban: Selisihnya harus diakui sebagai beban pada periode terjadinya, kecuali ada kemungkinan untuk memulihkan (menagih kembali) kelebihan tersebut.
- Jika dapat dipulihkan: Selisih tersebut dapat diakui sebagai aset (piutang) jika perusahaan memiliki hak hukum dan kemungkinan besar akan menerima kembali kelebihan pembayaran.
 B. Penyesuaian Kewajiban
- Setelah pembayaran dilakukan, kewajiban imbalan pasti untuk peserta tersebut menjadi nol (atau berkurang sesuai jumlah yang telah dibayarkan).
- Aktuaris perlu memperbarui perhitungan kewajiban untuk mencerminkan pembayaran aktual.
 C. Pengungkapan
- Kelebihan pembayaran harus diungkapkan dalam catatan atas laporan keuangan, termasuk penjelasan mengenai penyebab dan perlakuan akuntansinya.
---
 3. Contoh Praktis
Misal:
- Kewajiban pensiun yang diakui untuk karyawan A: Rp 100 juta
- Pembayaran aktual: Rp 120 juta
- Kelebihan bayar: Rp 20 juta
Perlakuan:
- Kewajiban untuk karyawan A menjadi nol.
- Rp 20 juta:
  - Jika dapat ditagih kembali: diakui sebagai piutang.
  - Jika tidak dapat ditagih: diakui sebagai beban pada laporan laba rugi.
Jurnal akuntansi (jika tidak dapat dipulihkan):
```
Beban Imbalan Kerja      Rp 20 juta
     Kas/Bank                   Rp 20 juta
```
---
 4. Referensi Standar Akuntansi dan Aktuaria
- PSAK 24/IAS 19: Mengatur pengakuan, pengukuran, dan pengungkapan manfaat imbalan pasti, termasuk settlement (penyelesaian) manfaat yang lebih besar dari kewajiban.
- PSAK 24 Paragraf 109-110 / IAS 19 Paragraf 109-110: Mengatur perlakuan atas settlement, termasuk pengakuan keuntungan atau kerugian jika pembayaran manfaat lebih besar dari kewajiban yang diakui.
Kutipan IAS 19 Paragraf 110:
&gt; "When a plan settlement occurs, an entity shall recognize a gain or loss on the settlement. The gain or loss on a settlement is the difference between the present value of the defined benefit obligation being settled... and the settlement price..."
---
 5. Saran Implementasi Praktis
- Verifikasi pembayaran sebelum dilakukan untuk meminimalkan risiko kelebihan bayar.
- Catat dan laporkan kelebihan bayar secara transparan.
- Lakukan penagihan jika kelebihan dapat dipulihkan.
- Update perhitungan aktuaria untuk mencerminkan pembayaran aktual.
- Ungkapkan dalam laporan keuangan sesuai standar.
---
 6. Kesimpulan
Jika jumlah pembayaran manfaat lebih besar dari kewajiban yang diakui:
- Selisihnya diakui sebagai beban (atau aset jika dapat dipulihkan).
- Kewajiban di laporan keuangan disesuaikan menjadi nol untuk peserta terkait.
- Proses administrasi dan pengendalian internal yang baik sangat penting untuk mencegah dan menangani kasus ini.
---
Referensi:
- PSAK 24: Imbalan Kerja (Paragraf 109-110)
- IAS 19: Employee Benefits (Paragraf 109-110)
Jika Anda membutuhkan contoh jurnal atau simulasi penyesuaian aktuaria lebih lanjut, silakan informasikan kebutuhan spesifik Anda.</t>
  </si>
  <si>
    <t>bagaimana jika jumlah pembayaran yang dikeluarkan lebih kecil dari pada kewajibannya?</t>
  </si>
  <si>
    <t>Combine Support dengan Note
Tentu, berikut penjelasan komprehensif mengenai perlakuan jika jumlah pembayaran yang dikeluarkan lebih kecil daripada kewajibannya dalam konteks aktuaria dan pelaporan keuangan imbalan pasti, berdasarkan standar praktik dan pengetahuan umum aktuaria, karena dokumen yang Anda lampirkan tidak memuat informasi spesifik.
---
 1. Definisi Masalah
Situasi ini terjadi ketika perusahaan membayar manfaat (misal: pensiun, pesangon, atau imbalan pasca-kerja lain) lebih kecil daripada kewajiban yang telah diakui (underpayment). Artinya, masih terdapat sisa kewajiban yang belum dilunasi kepada karyawan atau peserta.
---
 2. Dampak dan Perlakuan Akuntansi
 A. Pengakuan Sisa Kewajiban
- Kewajiban Masih Ada: Selisih antara kewajiban yang diakui dan pembayaran aktual tetap harus diakui sebagai kewajiban di neraca perusahaan.
- Tidak Ada Penghapusan Kewajiban: Kewajiban tidak boleh dihapuskan sampai seluruh manfaat yang menjadi hak karyawan telah dibayarkan.
 B. Penyesuaian Perhitungan Aktuaria
- Update Perhitungan: Aktuaris perlu memperbarui perhitungan kewajiban, mengurangi nilai manfaat yang telah dibayarkan, dan menyisakan sisa kewajiban untuk pembayaran di masa depan.
- Pengakuan Beban: Beban imbalan kerja yang diakui di laporan laba rugi tetap mengacu pada kewajiban yang dihitung secara aktuaria, bukan hanya pada jumlah yang telah dibayarkan.
 C. Pengungkapan
- Transparansi: Perusahaan wajib mengungkapkan dalam catatan atas laporan keuangan mengenai sisa kewajiban yang belum dibayarkan dan rencana pelunasannya.
---
 3. Contoh Praktis
Misal:
- Kewajiban pensiun yang diakui untuk karyawan A: Rp 100 juta
- Pembayaran aktual: Rp 80 juta
- Sisa kewajiban: Rp 20 juta
Perlakuan:
- Kewajiban di neraca untuk karyawan A tetap sebesar Rp 20 juta.
- Perusahaan harus merencanakan pembayaran sisa kewajiban tersebut di masa depan.
- Jika pembayaran dilakukan di periode berikutnya, maka kewajiban akan berkurang sesuai pembayaran tersebut.
Jurnal akuntansi saat pembayaran sebagian:
```
Kewajiban Imbalan Kerja    Rp 80 juta
     Kas/Bank                   Rp 80 juta
```
Sisa kewajiban Rp 20 juta tetap tercatat di neraca.
---
 4. Referensi Standar Akuntansi dan Aktuaria
- PSAK 24/IAS 19: Mengatur bahwa kewajiban imbalan pasti harus diukur dan diakui sebesar nilai kini manfaat yang masih harus dibayarkan kepada karyawan.
- PSAK 24 Paragraf 55-56: Kewajiban diukur pada nilai kini manfaat yang diharapkan akan dibayarkan, dikurangi pembayaran yang telah dilakukan.
- IAS 19 Paragraf 55-56: Sama dengan di atas, menegaskan bahwa pembayaran manfaat mengurangi kewajiban, dan sisa kewajiban tetap diakui sampai seluruh manfaat dibayarkan.
---
 5. Saran Implementasi Praktis
- Pastikan Rekonsiliasi: Lakukan rekonsiliasi antara pembayaran aktual dan kewajiban yang diakui secara berkala.
- Update Data dan Asumsi: Pastikan data peserta dan asumsi aktuaria selalu diperbarui agar perhitungan kewajiban akurat.
- Rencanakan Pembayaran Sisa: Susun jadwal pembayaran untuk melunasi sisa kewajiban di masa depan.
- Ungkapkan Secara Transparan: Jelaskan dalam laporan keuangan mengenai sisa kewajiban dan rencana pelunasannya.
---
 6. Kesimpulan
Jika jumlah pembayaran manfaat lebih kecil dari kewajiban yang diakui:
- Sisa kewajiban tetap harus diakui di neraca hingga seluruh manfaat dibayarkan.
- Pembayaran berikutnya akan mengurangi kewajiban tersebut.
- Proses administrasi dan pengendalian internal yang baik penting untuk memastikan seluruh kewajiban kepada karyawan dapat dipenuhi secara tepat waktu dan akurat.
---
Referensi:
- PSAK 24: Imbalan Kerja (Paragraf 55-56)
- IAS 19: Employee Benefits (Paragraf 55-56)
Jika Anda membutuhkan contoh format rekonsiliasi atau simulasi penyesuaian aktuaria atas pembayaran sebagian, silakan informasikan kebutuhan Anda.</t>
  </si>
  <si>
    <t>apa perbedaan antara SAK ETAP dan SAK EP</t>
  </si>
  <si>
    <t>SAK</t>
  </si>
  <si>
    <t>Combine Support dengan Note
Tentu, berikut penjelasan komprehensif mengenai perbedaan antara SAK ETAP dan SAK EP, meskipun tidak ditemukan dokumen relevan secara spesifik, saya akan mengacu pada pengetahuan umum akuntansi dan praktik yang berlaku di Indonesia, serta memberikan penjelasan yang terstruktur dan mudah dipahami.
---
 1. Definisi SAK ETAP dan SAK EP
 A. SAK ETAP (Standar Akuntansi Keuangan Entitas Tanpa Akuntabilitas Publik)
- SAK ETAP adalah standar akuntansi keuangan yang disusun khusus untuk entitas yang tidak memiliki akuntabilitas publik signifikan dan menerbitkan laporan keuangan untuk tujuan umum bagi pengguna eksternal.
- Berlaku sejak 1 Januari 2011 di Indonesia.
- Ditujukan untuk entitas yang tidak wajib mengikuti SAK penuh (IFRS-based), seperti UMKM, koperasi, yayasan, dan entitas kecil lainnya.
 B. SAK EP (Standar Akuntansi Keuangan Entitas Privat)
- SAK EP adalah standar akuntansi keuangan yang disusun untuk entitas privat, yaitu entitas yang tidak memiliki akuntabilitas publik dan tidak menerbitkan instrumen di pasar modal.
- Mulai berlaku efektif di Indonesia pada 1 Januari 2025, menggantikan SAK ETAP.
- SAK EP mengadopsi IFRS for SMEs (International Financial Reporting Standard for Small and Medium-sized Entities) dengan beberapa penyesuaian untuk konteks Indonesia.
---
 2. Perbedaan Utama SAK ETAP vs SAK EP
| Aspek                  | SAK ETAP                                      | SAK EP                                         |
|------------------------|-----------------------------------------------|------------------------------------------------|
| Dasar Penyusunan   | Adaptasi dari UK GAAP (UK-FRSSE)              | IFRS for SMEs (IFRS versi UKM)                 |
| Berlaku Sejak      | 1 Januari 2011                                | 1 Januari 2025                                 |
| Target Entitas     | Entitas tanpa akuntabilitas publik            | Entitas privat (tidak punya akuntabilitas publik)|
| Kompleksitas       | Lebih sederhana dari SAK umum                 | Lebih komprehensif dari ETAP, tapi tetap sederhana dibanding SAK umum |
| Pengakuan &amp; Pengukuran | Banyak menggunakan biaya historis, opsi terbatas | Lebih banyak opsi pengukuran (misal: nilai wajar untuk instrumen keuangan tertentu) |
| Pengungkapan       | Lebih sederhana, pengungkapan terbatas        | Lebih banyak pengungkapan, mengikuti IFRS for SMEs |
| Penyusunan Laporan | Laporan keuangan dasar (Neraca, Laba Rugi, Catatan) | Laporan keuangan dasar + tambahan pengungkapan sesuai IFRS for SMEs |
| Aset Tetap &amp; Properti | Tidak ada revaluasi, hanya biaya historis   | Dapat menggunakan model revaluasi untuk properti investasi |
| Instrumen Keuangan | Pengakuan sederhana, tidak kompleks           | Pengakuan dan pengukuran lebih mendekati IFRS for SMEs |
| Transisi           | Tidak ada ketentuan transisi khusus            | Ada ketentuan transisi dari SAK ETAP ke SAK EP |
---
 3. Contoh Praktis
Misal:  
Sebuah koperasi kecil ingin menyusun laporan keuangan.
- Jika menggunakan SAK ETAP:  
  - Pengakuan aset tetap hanya berdasarkan biaya historis, tidak ada revaluasi.
  - Pengungkapan catatan atas laporan keuangan lebih sederhana.
- Jika menggunakan SAK EP (mulai 2025):  
  - Jika koperasi memiliki properti investasi, dapat memilih model nilai wajar.
  - Pengungkapan lebih detail, misal: kebijakan akuntansi, risiko keuangan, dsb.
---
 4. Referensi Standar Akuntansi
- SAK ETAP: Diterbitkan oleh IAI (Ikatan Akuntan Indonesia), berlaku sejak 2011.
- SAK EP: Diterbitkan oleh IAI, berlaku efektif mulai 2025, mengadopsi IFRS for SMEs.
- IFRS for SMEs: Standar internasional untuk UKM yang menjadi acuan SAK EP.
---
 5. Saran Implementasi Praktis
- Bagi entitas yang saat ini menggunakan SAK ETAP:  
  - Mulai pelajari perbedaan dan persyaratan tambahan di SAK EP.
  - Lakukan penyesuaian sistem akuntansi dan pelaporan keuangan sebelum 2025.
  - Konsultasikan dengan akuntan atau auditor untuk transisi yang mulus.
- Bagi entitas baru:  
  - Jika memenuhi kriteria entitas privat, langsung gunakan SAK EP mulai 2025.
---
 6. Kesimpulan
SAK ETAP adalah standar akuntansi sederhana untuk entitas tanpa akuntabilitas publik, berlaku sejak 2011, dengan pengakuan dan pengungkapan yang terbatas.  
SAK EP adalah standar baru yang lebih komprehensif, berlaku mulai 2025, mengadopsi IFRS for SMEs, dengan pengakuan, pengukuran, dan pengungkapan yang lebih mendetail namun tetap sederhana dibanding SAK umum.
Transisi ke SAK EP penting untuk dipersiapkan sejak dini agar laporan keuangan tetap sesuai standar dan dapat dibandingkan secara internasional.
---
Referensi:
- Ikatan Akuntan Indonesia (IAI): www.iaiglobal.or.id
- SAK ETAP (2011)
- SAK EP (2023, berlaku 2025)
- IFRS for SMEs (IFRS Foundation)
Jika Anda membutuhkan contoh laporan keuangan atau simulasi transisi dari SAK ETAP ke SAK EP, silakan informasikan kebutuhan Anda.</t>
  </si>
  <si>
    <t>apa perbedaan PSAK 24 dan PSAK 219</t>
  </si>
  <si>
    <t>Combine Support dengan Note
Tentu, berikut penjelasan komprehensif mengenai perbedaan antara PSAK 24 dan PSAK 219, dengan penjelasan terstruktur, praktis, dan mengacu pada pengetahuan umum serta standar akuntansi yang berlaku di Indonesia.
---
 1. Definisi dan Ruang Lingkup
 A. PSAK 24: Imbalan Kerja
- PSAK 24 adalah standar akuntansi yang mengatur pengakuan, pengukuran, dan pengungkapan imbalan kerja yang diberikan oleh perusahaan kepada karyawan, baik selama masa kerja maupun setelah masa kerja berakhir.
- Imbalan kerja yang diatur meliputi: imbalan kerja jangka pendek (gaji, bonus), imbalan pasca-kerja (pensiun, pesangon), imbalan jangka panjang lainnya, dan pesangon pemutusan kontrak.
- PSAK 24 mengadopsi prinsip-prinsip dari IAS 19: Employee Benefits.
 B. PSAK 219: Akuntansi Sewa
- PSAK 219 adalah standar akuntansi yang mengatur perlakuan akuntansi untuk transaksi sewa (leasing), baik bagi pihak penyewa (lessee) maupun pihak yang menyewakan (lessor).
- PSAK 219 mengatur pengakuan, pengukuran, penyajian, dan pengungkapan sewa, termasuk identifikasi kontrak sewa, pengakuan aset hak-guna (right-of-use asset), dan kewajiban sewa.
- PSAK 219 mengadopsi prinsip-prinsip dari IFRS 16: Leases.
---
 2. Perbedaan Utama PSAK 24 vs PSAK 219
| Aspek                  | PSAK 24: Imbalan Kerja                        | PSAK 219: Akuntansi Sewa                      |
|------------------------|-----------------------------------------------|-----------------------------------------------|
| Ruang Lingkup      | Imbalan kerja (gaji, pensiun, pesangon, dll)  | Transaksi sewa (leasing)                      |
| Pihak Terkait      | Perusahaan dan karyawan                       | Penyewa (lessee) dan pemberi sewa (lessor)    |
| Fokus Akuntansi    | Pengakuan dan pengukuran kewajiban/biaya imbalan kerja | Pengakuan aset hak-guna dan kewajiban sewa    |
| Contoh Transaksi   | Program pensiun, pesangon PHK, bonus tahunan  | Sewa gedung, kendaraan, mesin, dll            |
| Standar Internasional | IAS 19: Employee Benefits                  | IFRS 16: Leases                               |
| Pengukuran         | Nilai kini kewajiban imbalan pasti, biaya jasa kini, biaya bunga | Nilai kini pembayaran sewa, aset hak-guna     |
| Pengungkapan       | Rincian kewajiban imbalan kerja, asumsi aktuaria, risiko | Rincian aset hak-guna, kewajiban sewa, durasi sewa |
| Laporan Keuangan   | Neraca: Kewajiban imbalan kerja; Laba Rugi: Beban imbalan kerja | Neraca: Aset hak-guna &amp; kewajiban sewa; Laba Rugi: Beban sewa |
---
 3. Contoh Praktis
 A. PSAK 24
- Kasus: Perusahaan memiliki program pensiun manfaat pasti.
- Perlakuan: Perusahaan menghitung kewajiban imbalan pasti dengan metode aktuaria (Projected Unit Credit), mengakui beban imbalan kerja di laporan laba rugi, dan mengungkapkan asumsi aktuaria di catatan keuangan.
 B. PSAK 219
- Kasus: Perusahaan menyewa gedung kantor selama 5 tahun.
- Perlakuan: Perusahaan mengakui aset hak-guna atas gedung dan kewajiban sewa sebesar nilai kini pembayaran sewa di neraca, serta mengakui beban depresiasi dan bunga di laporan laba rugi.
---
 4. Referensi Standar Akuntansi
- PSAK 24: Imbalan Kerja (mengacu pada IAS 19)
- PSAK 219: Akuntansi Sewa (mengacu pada IFRS 16)
- Diterbitkan oleh Ikatan Akuntan Indonesia (IAI)
---
 5. Saran Implementasi Praktis
- Pastikan identifikasi transaksi: Bedakan dengan jelas antara transaksi imbalan kerja (PSAK 24) dan transaksi sewa (PSAK 219).
- Gunakan metode pengukuran yang tepat: Untuk imbalan kerja, gunakan metode aktuaria; untuk sewa, gunakan perhitungan nilai kini pembayaran sewa.
- Perhatikan pengungkapan: Kedua standar mewajibkan pengungkapan yang cukup di catatan atas laporan keuangan, sesuai dengan risiko dan asumsi yang digunakan.
---
 6. Kesimpulan
- PSAK 24 mengatur perlakuan akuntansi untuk imbalan kerja karyawan, termasuk pengukuran kewajiban dan beban imbalan kerja dengan pendekatan aktuaria.
- PSAK 219 mengatur perlakuan akuntansi untuk transaksi sewa, baik bagi penyewa maupun pemberi sewa, dengan fokus pada pengakuan aset hak-guna dan kewajiban sewa.
- Keduanya memiliki ruang lingkup, metode pengukuran, dan pengungkapan yang berbeda sesuai dengan jenis transaksi yang diatur.
---
Referensi:
- Ikatan Akuntan Indonesia (IAI): www.iaiglobal.or.id
- PSAK 24: Imbalan Kerja
- PSAK 219: Akuntansi Sewa
Jika Anda membutuhkan contoh jurnal atau simulasi perhitungan untuk kedua standar tersebut, silakan informasikan kebutuhan spesifik Anda.</t>
  </si>
  <si>
    <t>apakah nilai PVDBO bisa diturunkan?</t>
  </si>
  <si>
    <t>Combine Support dengan Note
Tentu, berikut penjelasan komprehensif mengenai apakah nilai PVDBO bisa diturunkan, dengan penjelasan terstruktur, praktis, dan mengacu pada prinsip aktuaria serta standar akuntansi yang berlaku, karena dokumen yang Anda lampirkan tidak memuat informasi spesifik.
---
 1. Definisi PVDBO
PVDBO (Present Value of Defined Benefit Obligation) adalah nilai kini dari seluruh kewajiban manfaat pasti (misal: pensiun, pesangon) yang telah diperhitungkan hingga tanggal pelaporan, dihitung menggunakan metode aktuaria (umumnya Projected Unit Credit). PVDBO mencerminkan estimasi nilai manfaat yang akan dibayarkan di masa depan, didiskontokan ke nilai saat ini.
---
 2. Apakah Nilai PVDBO Bisa Diturunkan?
Jawabannya: YA, nilai PVDBO bisa turun dari satu periode ke periode berikutnya. Penurunan ini dapat terjadi karena beberapa faktor, baik yang bersifat aktuaria maupun non-akturia.
---
 3. Faktor Penyebab Penurunan PVDBO
 A. Pembayaran Manfaat
- Jika perusahaan membayar sebagian atau seluruh manfaat kepada peserta (misal: pensiun, pesangon), maka PVDBO akan berkurang sebesar manfaat yang telah dibayarkan.
 B. Perubahan Asumsi Aktuaria
- Tingkat Diskonto Naik: Jika tingkat diskonto (discount rate) yang digunakan naik, maka nilai kini kewajiban akan turun.
- Perubahan Asumsi Mortalitas: Jika asumsi mortalitas diperbarui sehingga harapan hidup lebih pendek, maka total manfaat yang harus dibayar di masa depan akan lebih kecil.
- Perubahan Asumsi Kenaikan Gaji: Jika asumsi kenaikan gaji diturunkan, maka estimasi manfaat masa depan juga turun.
 C. Pengalaman Aktual Lebih Baik dari Perkiraan
- Jika jumlah peserta yang keluar, meninggal, atau pensiun lebih awal dari yang diasumsikan, maka kewajiban aktual lebih kecil dari estimasi sebelumnya.
 D. Modifikasi Program
- Jika perusahaan mengurangi manfaat program (plan amendment/curtailment), misal dengan menurunkan formula manfaat, maka PVDBO akan turun.
---
 4. Contoh Praktis
Misal:
- Tahun lalu, PVDBO = Rp 10 miliar.
- Tahun ini, perusahaan membayar manfaat Rp 1 miliar.
- Tingkat diskonto naik dari 7% ke 8%.
- Asumsi kenaikan gaji diturunkan dari 8% ke 6%.
Hasil:
- PVDBO tahun ini bisa turun menjadi, misal, Rp 8,5 miliar, tergantung dampak kumulatif pembayaran manfaat dan perubahan asumsi.
---
 5. Referensi Standar Akuntansi dan Aktuaria
- PSAK 24 (IAS 19):  
  - Paragraf 55-56: PVDBO dihitung dengan memperhitungkan pembayaran manfaat, perubahan asumsi, dan pengalaman aktual.
  - Paragraf 109-115: Penurunan PVDBO dapat terjadi karena pembayaran manfaat, perubahan asumsi, atau modifikasi program.
- Praktik Aktuaria:  
  - Penurunan PVDBO harus dijelaskan dalam rekonsiliasi pergerakan kewajiban manfaat pasti di laporan keuangan.
---
 6. Saran Implementasi Praktis
- Lakukan Rekonsiliasi Tahunan: Selalu lakukan rekonsiliasi pergerakan PVDBO, identifikasi penyebab utama penurunan (pembayaran, perubahan asumsi, dll).
- Dokumentasikan Perubahan Asumsi: Catat dan jelaskan setiap perubahan asumsi aktuaria yang berdampak pada PVDBO.
- Ungkapkan di Laporan Keuangan: Sesuai PSAK 24, ungkapkan faktor-faktor yang menyebabkan perubahan PVDBO, baik kenaikan maupun penurunan.
---
 7. Kesimpulan
Nilai PVDBO bisa turun karena pembayaran manfaat, perubahan asumsi aktuaria (diskonto, kenaikan gaji, mortalitas), pengalaman aktual yang lebih baik, atau modifikasi program manfaat. Penurunan ini harus dicatat dan diungkapkan secara transparan sesuai standar akuntansi dan praktik aktuaria.
---
Referensi:
- PSAK 24: Imbalan Kerja (Paragraf 55-56, 109-115)
- IAS 19: Employee Benefits
- Ikatan Aktuaris Indonesia: Standar Praktik Aktuaria
Jika Anda membutuhkan contoh rekonsiliasi PVDBO atau simulasi dampak perubahan asumsi, silakan informasikan kebutuhan Anda.</t>
  </si>
  <si>
    <t>Apakah nilai Beban tahun berjalan dapat diturunkan/dinaikkan?</t>
  </si>
  <si>
    <t>Anchor Answer dengan Note
Tentu, berikut jawaban komprehensif terkait pertanyaan: "Apakah nilai Beban tahun berjalan dapat diturunkan/dinaikkan?"
---
 1. Penjelasan Konsep: Beban Tahun Berjalan
Beban tahun berjalan dalam konteks aktuaria (misal pada asuransi atau dana pensiun) biasanya merujuk pada Current Service Cost atau Beban Imbalan Kerja yang diakui dalam laporan keuangan untuk periode berjalan. Nilai ini mencerminkan kewajiban yang timbul akibat jasa yang diberikan karyawan pada tahun berjalan.
---
 2. Faktor yang Mempengaruhi Nilai Beban Tahun Berjalan
Nilai beban tahun berjalan dapat berubah (naik/turun) dari tahun ke tahun, tergantung pada beberapa faktor utama:
 a. Perubahan Asumsi Aktuaria
- Tingkat diskonto: Penurunan tingkat diskonto akan meningkatkan nilai kini kewajiban, sehingga beban tahun berjalan bisa naik.
- Kenaikan gaji: Jika asumsi kenaikan gaji naik, beban tahun berjalan juga naik.
- Mortalitas, morbiditas, dan asumsi demografis lain: Perubahan pada asumsi ini dapat mempengaruhi beban.
 b. Perubahan Komposisi Karyawan
- Jumlah karyawan aktif: Bertambahnya karyawan akan meningkatkan beban.
- Usia dan masa kerja: Semakin tua dan lama masa kerja, biasanya beban lebih besar.
 c. Perubahan Program Imbalan
- Perubahan manfaat: Jika perusahaan meningkatkan manfaat pensiun, beban tahun berjalan naik.
 d. Metode Perhitungan
- Metode aktuaria: Penggunaan metode yang berbeda (misal Projected Unit Credit vs. Entry Age Normal) dapat menghasilkan nilai beban yang berbeda.
---
 3. Contoh Praktis
Misal, sebuah perusahaan menggunakan metode Projected Unit Credit untuk menghitung beban imbalan kerja. Tahun ini, perusahaan menaikkan asumsi kenaikan gaji dari 5% menjadi 7%. Akibatnya, nilai beban tahun berjalan akan naik karena proyeksi manfaat yang harus dibayar di masa depan menjadi lebih besar.
Sebaliknya, jika perusahaan mengurangi jumlah karyawan aktif karena restrukturisasi, beban tahun berjalan bisa turun.
---
 4. Referensi Standar Aktuaria
- PSAK 24 (Imbalan Kerja): Standar akuntansi di Indonesia yang mengatur pengakuan dan pengukuran beban imbalan kerja, termasuk beban tahun berjalan.
- ISAK 15: Interpretasi atas PSAK 24.
- International Accounting Standard (IAS) 19: Standar internasional yang setara.
- PSAK 74 (Kontrak Asuransi): Untuk asuransi, beban tahun berjalan juga diatur dalam standar ini.
---
 5. Saran Implementasi
- Review Asumsi Secara Berkala: Lakukan evaluasi dan update asumsi aktuaria minimal setahun sekali.
- Dokumentasi Perubahan: Catat alasan dan dampak perubahan asumsi atau metode.
- Konsultasi dengan Aktuaris: Libatkan aktuaris untuk memastikan perhitungan sesuai standar dan praktik terbaik.
- Komunikasi dengan Manajemen: Sampaikan potensi perubahan beban tahun berjalan akibat perubahan asumsi atau kebijakan.
---
 Kesimpulan
Nilai beban tahun berjalan dapat diturunkan atau dinaikkan tergantung pada perubahan asumsi aktuaria, komposisi karyawan, perubahan manfaat, dan metode perhitungan yang digunakan. Penting untuk selalu mengikuti standar aktuaria yang berlaku dan mendokumentasikan setiap perubahan yang terjadi.
---
Referensi:
- PSAK 24: Imbalan Kerja (IAI)
- IAS 19: Employee Benefits (IFRS)
- Standar Praktik Aktuaria Indonesia (PAI)
Jika Anda membutuhkan simulasi atau contoh perhitungan lebih detail, silakan informasikan kebutuhan spesifik Anda.</t>
  </si>
  <si>
    <t>Note; Beban tidak sama dengan CSC, CSC adalah bagian dari beban</t>
  </si>
  <si>
    <t>bagaimana cara menurunkan beban tahun berjalan?</t>
  </si>
  <si>
    <t>Anchor Answer dengan Note
Tentu, berikut jawaban komprehensif terkait "bagaimana cara menurunkan beban tahun berjalan" dalam konteks aktuaria, khususnya pada pengakuan beban imbalan kerja (misal: pensiun, pesangon, atau manfaat pasca-kerja lain):
---
 1. Penjelasan Konsep
Beban tahun berjalan (current service cost) adalah biaya yang diakui perusahaan atas manfaat imbalan kerja yang diperoleh karyawan selama periode berjalan. Nilai ini dihitung berdasarkan asumsi aktuaria dan ketentuan program manfaat yang berlaku.
---
 2. Cara Menurunkan Beban Tahun Berjalan
Secara umum, menurunkan beban tahun berjalan dapat dilakukan melalui beberapa pendekatan berikut:
 a. Mengubah Asumsi Aktuaria ke Arah Lebih Konservatif
- Tingkat Diskonto Lebih Tinggi  
  Meningkatkan tingkat diskonto (discount rate) akan menurunkan nilai kini kewajiban, sehingga beban tahun berjalan turun. Namun, tingkat diskonto harus tetap realistis dan sesuai standar (misal: menggunakan yield obligasi pemerintah berkualitas tinggi).
- Menurunkan Asumsi Kenaikan Gaji  
  Jika asumsi kenaikan gaji diturunkan, proyeksi manfaat masa depan lebih kecil, sehingga beban tahun berjalan turun.
- Asumsi Mortalitas/Morbiditas  
  Jika asumsi mortalitas lebih tinggi (harapan hidup lebih pendek), total manfaat yang harus dibayar akan lebih kecil.
&gt; Catatan: Perubahan asumsi harus didukung data dan justifikasi yang kuat, serta sesuai standar akuntansi dan aktuaria (misal PSAK 24/IAS 19).
 b. Mengubah Desain Program Imbalan
- Menurunkan Formula Manfaat  
  Misal, mengurangi persentase manfaat pensiun per tahun masa kerja, atau mengubah basis perhitungan dari gaji terakhir menjadi rata-rata gaji.
- Meningkatkan Usia Pensiun Normal  
  Dengan menaikkan usia pensiun, masa akumulasi manfaat lebih panjang dan masa pembayaran manfaat lebih pendek.
- Mengurangi atau Menghapus Komponen Manfaat Tertentu  
  Misal, menghapus manfaat tambahan seperti tunjangan kesehatan pasca-pensiun.
 c. Mengelola Komposisi Karyawan
- Mengurangi Jumlah Karyawan Aktif  
  Melalui restrukturisasi atau pembatasan rekrutmen baru.
- Mengelola Struktur Usia Karyawan  
  Karyawan yang lebih muda biasanya menghasilkan beban tahun berjalan yang lebih kecil dibandingkan karyawan yang lebih tua.
 d. Mengubah Metode Perhitungan (Jika Diperbolehkan)
- Metode Aktuaria  
  Dalam praktik, standar akuntansi (PSAK 24/IAS 19) umumnya mewajibkan metode Projected Unit Credit, sehingga perubahan metode terbatas. Namun, jika ada fleksibilitas, metode yang lebih konservatif dapat menurunkan beban.
---
 3. Contoh Praktis
Contoh 1:  
Perusahaan A menggunakan asumsi kenaikan gaji 8% per tahun. Setelah review, berdasarkan tren industri dan kebijakan baru, asumsi diturunkan menjadi 5% per tahun. Hasilnya, beban tahun berjalan turun secara signifikan.
Contoh 2:  
Perusahaan B menaikkan usia pensiun dari 55 ke 58 tahun. Dengan demikian, masa pembayaran manfaat lebih singkat, sehingga beban tahun berjalan turun.
---
 4. Referensi Standar Aktuaria
- PSAK 24: Imbalan Kerja  
  Mengatur pengakuan, pengukuran, dan pengungkapan beban imbalan kerja, termasuk perlunya justifikasi perubahan asumsi.
- IAS 19: Employee Benefits  
  Standar internasional yang setara.
- Standar Praktik Aktuaria Indonesia (PAI)  
  Mengatur tata cara penetapan asumsi dan metode aktuaria.
---
 5. Saran Implementasi
- Lakukan Review Asumsi Secara Berkala  
  Pastikan asumsi yang digunakan selalu relevan dan didukung data aktual.
- Dokumentasikan Setiap Perubahan  
  Catat alasan, data pendukung, dan dampak perubahan asumsi atau desain program.
- Libatkan Aktuaris dan Konsultan  
  Untuk memastikan perubahan sesuai standar dan tidak menimbulkan risiko hukum atau reputasi.
- Komunikasikan ke Stakeholder  
  Sampaikan perubahan dan dampaknya ke manajemen, karyawan, dan auditor.
---
 Kesimpulan
Menurunkan beban tahun berjalan dapat dilakukan melalui perubahan asumsi aktuaria, desain program manfaat, dan pengelolaan komposisi karyawan. Namun, setiap perubahan harus dilakukan secara hati-hati, didukung data, dan sesuai standar akuntansi serta aktuaria yang berlaku.
---
Referensi:
- PSAK 24: Imbalan Kerja (IAI)
- IAS 19: Employee Benefits (IFRS)
- Standar Praktik Aktuaria Indonesia (PAI)
Jika Anda membutuhkan simulasi atau contoh perhitungan lebih detail, silakan informasikan kebutuhan spesifik Anda.</t>
  </si>
  <si>
    <t>bagaimana cara menaikkan nilai beban pada tahun berjalan?</t>
  </si>
  <si>
    <t>No Note
Tentu, berikut penjelasan komprehensif mengenai cara menaikkan nilai beban tahun berjalan (current service cost) dalam konteks aktuaria, khususnya pada pengakuan beban imbalan kerja (misal: pensiun, pesangon, atau manfaat pasca-kerja lain):
---
 1. Penjelasan Konsep
Beban tahun berjalan adalah biaya yang diakui perusahaan atas manfaat imbalan kerja yang diperoleh karyawan selama periode berjalan. Nilai ini dihitung berdasarkan asumsi aktuaria, data karyawan, dan ketentuan program manfaat yang berlaku.
---
 2. Cara Menaikkan Nilai Beban Tahun Berjalan
Secara umum, nilai beban tahun berjalan dapat naik jika terjadi perubahan pada faktor-faktor berikut:
 a. Perubahan Asumsi Aktuaria ke Arah Lebih Agresif
- Menurunkan Tingkat Diskonto (Discount Rate)
  - Semakin rendah tingkat diskonto, semakin tinggi nilai kini kewajiban, sehingga beban tahun berjalan naik.
  - Contoh: Jika yield obligasi pemerintah turun, perusahaan wajib menyesuaikan tingkat diskonto ke bawah.
- Menaikkan Asumsi Kenaikan Gaji
  - Jika proyeksi kenaikan gaji tahunan dinaikkan, manfaat masa depan yang harus dibayar juga naik, sehingga beban tahun berjalan meningkat.
  - Contoh: Kenaikan asumsi dari 5% menjadi 8% per tahun.
- Menurunkan Asumsi Mortalitas
  - Jika harapan hidup karyawan lebih panjang, manfaat yang harus dibayar lebih lama, sehingga beban tahun berjalan naik.
 b. Perubahan Desain Program Imbalan
- Meningkatkan Formula Manfaat
  - Misal, menaikkan persentase manfaat pensiun per tahun masa kerja, atau mengubah basis perhitungan dari rata-rata gaji ke gaji terakhir (yang biasanya lebih tinggi).
- Menurunkan Usia Pensiun Normal
  - Jika usia pensiun diturunkan, masa pembayaran manfaat menjadi lebih panjang, sehingga beban tahun berjalan naik.
- Menambah Komponen Manfaat
  - Menambahkan manfaat baru, seperti tunjangan kesehatan pasca-pensiun, akan meningkatkan beban tahun berjalan.
 c. Perubahan Komposisi Karyawan
- Menambah Jumlah Karyawan Aktif
  - Penambahan karyawan, terutama yang berusia lebih tua atau dengan masa kerja panjang, akan menaikkan beban tahun berjalan.
- Perubahan Struktur Usia
  - Jika proporsi karyawan senior meningkat, beban tahun berjalan juga cenderung naik.
 d. Perubahan Metode Perhitungan (Jika Diperbolehkan)
- Metode Aktuaria
  - Walaupun PSAK 24/IAS 19 umumnya mewajibkan metode Projected Unit Credit, jika ada fleksibilitas dan metode yang digunakan lebih agresif dalam mengakui manfaat, beban tahun berjalan bisa naik.
---
 3. Contoh Praktis
Contoh 1:  
Perusahaan menaikkan asumsi kenaikan gaji dari 5% menjadi 8% per tahun. Akibatnya, proyeksi manfaat masa depan naik, sehingga beban tahun berjalan juga naik.
Contoh 2:  
Perusahaan menambah manfaat baru berupa tunjangan kesehatan pasca-pensiun. Penambahan manfaat ini langsung meningkatkan beban tahun berjalan.
Contoh 3:  
Perusahaan merekrut banyak karyawan baru yang berusia mendekati pensiun. Karena masa kerja dan usia mereka, beban tahun berjalan meningkat signifikan.
---
 4. Referensi Standar Aktuaria
- PSAK 24: Imbalan Kerja  
  Mengatur pengakuan, pengukuran, dan pengungkapan beban imbalan kerja, serta perlunya justifikasi perubahan asumsi.
- IAS 19: Employee Benefits  
  Standar internasional yang setara.
- Standar Praktik Aktuaria Indonesia (PAI)  
  Mengatur tata cara penetapan asumsi dan metode aktuaria.
---
 5. Saran Implementasi
- Review Asumsi Secara Berkala  
  Pastikan asumsi yang digunakan selalu relevan dan didukung data aktual.
- Dokumentasikan Setiap Perubahan  
  Catat alasan, data pendukung, dan dampak perubahan asumsi atau desain program.
- Libatkan Aktuaris dan Konsultan  
  Untuk memastikan perubahan sesuai standar dan tidak menimbulkan risiko hukum atau reputasi.
- Komunikasikan ke Stakeholder  
  Sampaikan perubahan dan dampaknya ke manajemen, karyawan, dan auditor.
---
 Kesimpulan
Nilai beban tahun berjalan dapat dinaikkan melalui perubahan asumsi aktuaria (diskonto, kenaikan gaji, mortalitas), perubahan desain program manfaat (menambah manfaat, menurunkan usia pensiun), serta perubahan komposisi karyawan. Setiap perubahan harus dilakukan secara hati-hati, didukung data, dan sesuai standar akuntansi serta aktuaria yang berlaku.
---
Referensi:
- PSAK 24: Imbalan Kerja (IAI)
- IAS 19: Employee Benefits (IFRS)
- Standar Praktik Aktuaria Indonesia (PAI)
Jika Anda membutuhkan simulasi atau contoh perhitungan lebih detail, silakan informasikan kebutuhan spesifik Anda.</t>
  </si>
  <si>
    <t>bagaimana cara menghitung karyawan kontrak?</t>
  </si>
  <si>
    <t>No Note
Tentu, berikut penjelasan komprehensif mengenai cara menghitung karyawan kontrak dalam konteks aktuaria, khususnya terkait penghitungan beban imbalan kerja atau manfaat pasca-kerja:
---
 1. Penjelasan Konsep: Karyawan Kontrak dalam Aktuaria
Karyawan kontrak adalah pekerja yang dipekerjakan berdasarkan perjanjian kerja waktu tertentu (PKWT), berbeda dengan karyawan tetap (PKWTT). Dalam praktik aktuaria, perlakuan terhadap karyawan kontrak dalam perhitungan manfaat imbalan kerja (seperti pesangon, pensiun, atau manfaat pasca-kerja lainnya) sangat tergantung pada:
- Jenis manfaat yang diberikan perusahaan
- Peraturan perundang-undangan yang berlaku
- Kebijakan perusahaan
---
 2. Langkah Praktis Menghitung Karyawan Kontrak dalam Perhitungan Aktuaria
 a. Identifikasi Status dan Hak Karyawan Kontrak
- Pastikan status karyawan (kontrak atau tetap) dan masa kerja.
- Tinjau hak-hak imbalan kerja yang berlaku untuk karyawan kontrak sesuai UU Ketenagakerjaan (misal: UU No. 13 Tahun 2003, UU Cipta Kerja) dan kebijakan perusahaan.
 b. Tentukan Jenis Manfaat yang Dihitung
- Pesangon: Karyawan kontrak umumnya berhak atas kompensasi di akhir masa kontrak sesuai ketentuan perundangan.
- Pensiun: Biasanya karyawan kontrak tidak diikutkan dalam program pensiun, kecuali ada kebijakan khusus.
- Manfaat Lain: Misal, tunjangan hari raya, bonus, atau manfaat lain yang diatur dalam kontrak.
 c. Pengumpulan Data
- Data karyawan kontrak: nama, tanggal lahir, tanggal mulai dan berakhir kontrak, gaji pokok, tunjangan tetap, dan masa kerja.
 d. Perhitungan Manfaat
- Pesangon:  
  Berdasarkan Pasal 61A UU No. 13 Tahun 2003 (dan perubahannya), jika kontrak berakhir sebelum waktunya, karyawan kontrak berhak atas kompensasi sebesar 1 bulan upah untuk setiap 12 bulan masa kerja (proporsional jika kurang dari 12 bulan).
- Manfaat Lain:  
  Hitung sesuai ketentuan kontrak atau kebijakan perusahaan.
Contoh Perhitungan Pesangon Karyawan Kontrak:  
Seorang karyawan kontrak dengan masa kerja 10 bulan dan gaji pokok + tunjangan tetap Rp5.000.000/bulan:
- Kompensasi = (10/12) x 1 x Rp5.000.000 = Rp4.166.667
 e. Pengakuan dalam Perhitungan Aktuaria
- Jika manfaat karyawan kontrak material dan berulang:  
  Masukkan dalam perhitungan beban tahun berjalan sesuai PSAK 24.
- Jika manfaat tidak material atau hanya sekali:  
  Bisa diakui langsung sebagai beban pada saat terjadi.
---
 3. Referensi Standar dan Regulasi
- PSAK 24: Imbalan Kerja  
  Mengatur pengakuan dan pengukuran imbalan kerja untuk seluruh karyawan, termasuk kontrak jika memenuhi kriteria.
- UU No. 13 Tahun 2003 &amp; UU Cipta Kerja  
  Mengatur hak-hak karyawan kontrak, termasuk kompensasi.
- Peraturan Perusahaan/PKB  
  Bisa mengatur manfaat tambahan untuk karyawan kontrak.
---
 4. Saran Implementasi
- Pastikan Data Karyawan Kontrak Tercatat Lengkap
- Tinjau Kebijakan Perusahaan dan Peraturan Terkini
- Libatkan Aktuaris untuk Perhitungan yang Kompleks
- Dokumentasikan Metode dan Asumsi yang Digunakan
---
 5. Kesimpulan
Menghitung karyawan kontrak dalam aktuaria berarti mengidentifikasi hak-hak manfaat yang berlaku, mengumpulkan data yang relevan, dan menghitung manfaat sesuai ketentuan hukum dan kebijakan perusahaan. Perlakuan dalam perhitungan aktuaria harus mengikuti standar akuntansi (PSAK 24) dan regulasi ketenagakerjaan yang berlaku.
---
Referensi:
- PSAK 24: Imbalan Kerja (IAI)
- UU No. 13 Tahun 2003 &amp; UU Cipta Kerja
- Standar Praktik Aktuaria Indonesia (PAI)
Jika Anda membutuhkan template data atau simulasi perhitungan lebih detail, silakan informasikan kebutuhan spesifik Anda.</t>
  </si>
  <si>
    <t>Apakah realisasi untuk PHK di tahun berjalan harus tetap dihitung?</t>
  </si>
  <si>
    <t>Combine Support dengan Note
Tentu, berikut jawaban komprehensif terkait pertanyaan: "Apakah realisasi untuk PHK di tahun berjalan harus tetap dihitung?"
---
 1. Penjelasan Jelas dan Terstruktur
 a. Definisi PHK dalam Konteks Aktuaria
PHK (Pemutusan Hubungan Kerja) adalah kondisi di mana karyawan diberhentikan dari pekerjaannya, yang biasanya menimbulkan kewajiban pembayaran manfaat tertentu oleh perusahaan, seperti pesangon, kompensasi, atau manfaat pasca-kerja lainnya.
 b. Realisasi PHK di Tahun Berjalan
Realisasi PHK adalah kejadian PHK yang benar-benar terjadi dalam periode berjalan (tahun berjalan), bukan hanya estimasi atau proyeksi.
 c. Perlakuan Aktuaria terhadap Realisasi PHK
Dalam praktik aktuaria, khususnya dalam perhitungan kewajiban imbalan kerja (misal: PSAK 24 di Indonesia atau IAS 19 secara internasional), terdapat dua komponen utama:
- Kewajiban Imbalan Kerja Akhir Tahun: Berdasarkan estimasi aktuaria atas seluruh karyawan yang masih aktif.
- Realisasi Manfaat (Benefit Payments): Pembayaran manfaat yang benar-benar terjadi selama tahun berjalan, termasuk akibat PHK.
Realisasi PHK di tahun berjalan harus tetap dihitung dan dicatat karena:
- Mengurangi kewajiban aktuaria: Ketika manfaat dibayarkan akibat PHK, kewajiban perusahaan berkurang sebesar manfaat yang telah dibayarkan.
- Mempengaruhi laporan keuangan: Pembayaran manfaat aktual (termasuk PHK) dicatat sebagai pengeluaran dan mengurangi saldo kewajiban imbalan kerja.
- Diperlukan untuk rekonsiliasi aktuaria: Untuk memastikan saldo awal, penambahan biaya jasa kini, bunga, dan pengurangan akibat pembayaran manfaat (termasuk PHK) sesuai dengan saldo akhir.
---
 2. Contoh Praktis
Misal:
- Saldo awal kewajiban imbalan kerja: Rp 1.000.000.000
- Biaya jasa kini tahun berjalan: Rp 100.000.000
- Bunga aktuaria: Rp 50.000.000
- Pembayaran manfaat akibat PHK: Rp 80.000.000
- Pembayaran manfaat pensiun normal: Rp 20.000.000
Perhitungan saldo akhir:
Saldo akhir = Saldo awal + Biaya jasa kini + Bunga - Pembayaran manfaat (PHK &amp; pensiun)
Saldo akhir = 1.000.000.000 + 100.000.000 + 50.000.000 - (80.000.000 + 20.000.000)
Saldo akhir = 1.050.000.000
Kesimpulan: Pembayaran manfaat akibat PHK di tahun berjalan tetap dihitung dan mengurangi kewajiban.
---
 3. Referensi Standar Aktuaria
- PSAK 24 (Imbalan Kerja):  
  Paragraf 57-58 menjelaskan bahwa pembayaran manfaat aktual (termasuk PHK) harus diakui dan dikurangkan dari kewajiban imbalan kerja.
- IAS 19 (Employee Benefits):  
  Paragraf 141-142 menyebutkan bahwa pembayaran manfaat aktual (actual benefit payments) harus diperhitungkan dalam rekonsiliasi kewajiban.
- ISAK 15 (PSAK 24):  
  Menegaskan perlakuan manfaat terminasi (termination benefits) akibat PHK harus diakui pada saat terjadi komitmen.
---
 4. Saran Implementasi
- Catat seluruh realisasi PHK secara terpisah: Agar mudah direkonsiliasi dengan perhitungan aktuaria.
- Komunikasikan dengan aktuaria: Pastikan data pembayaran manfaat akibat PHK diberikan secara lengkap dan tepat waktu.
- Update sistem akuntansi: Pastikan sistem dapat membedakan pembayaran manfaat akibat PHK dan manfaat pensiun normal.
- Lakukan rekonsiliasi tahunan: Pastikan saldo kewajiban imbalan kerja sesuai dengan pembayaran manfaat aktual, termasuk PHK.
---
 Kesimpulan
Realisasi PHK di tahun berjalan harus tetap dihitung dalam perhitungan aktuaria dan laporan keuangan, karena mempengaruhi saldo kewajiban imbalan kerja perusahaan. Hal ini sesuai dengan standar akuntansi dan aktuaria yang berlaku (PSAK 24/IAS 19).
---
Referensi:
- PSAK 24 (Imbalan Kerja), DSAK IAI
- IAS 19 (Employee Benefits), IFRS Foundation
Jika ada kebutuhan implementasi lebih lanjut, disarankan untuk berkonsultasi dengan aktuaria perusahaan dan auditor eksternal.</t>
  </si>
  <si>
    <t>berikan contoh perhitungan beban tahun berjalan</t>
  </si>
  <si>
    <t>Tentu, berikut adalah jawaban komprehensif mengenai contoh perhitungan beban tahun berjalan dalam konteks aktuaria, khususnya untuk kewajiban imbalan kerja (misal: sesuai PSAK 24/IAS 19):
---
 1. Penjelasan Jelas dan Terstruktur
 a. Definisi Beban Tahun Berjalan
Beban tahun berjalan (current year expense) adalah jumlah biaya yang harus diakui perusahaan dalam laporan laba rugi selama satu periode akuntansi terkait kewajiban imbalan kerja. Beban ini terdiri dari beberapa komponen utama sesuai standar akuntansi dan aktuaria.
 b. Komponen Beban Tahun Berjalan
Berdasarkan PSAK 24/IAS 19, beban tahun berjalan biasanya terdiri dari:
1. Biaya jasa kini (Current Service Cost): Nilai kini manfaat yang diperoleh karyawan selama tahun berjalan.
2. Beban bunga (Interest Cost): Bunga atas saldo kewajiban imbalan kerja pada awal tahun, dihitung dengan tingkat diskonto aktuaria.
3. Biaya jasa lalu (Past Service Cost): Biaya akibat perubahan program manfaat yang berlaku surut (jika ada).
4. Keuntungan/kerugian aktuaria yang diakui langsung di laba rugi (jika ada, misal untuk termination/settlement).
5. Pengurangan manfaat (Benefit Payments): Pembayaran manfaat aktual, termasuk PHK dan pensiun, biasanya tidak masuk ke beban tahun berjalan, tetapi mengurangi saldo kewajiban.
---
 2. Contoh Praktis Perhitungan Beban Tahun Berjalan
Asumsi Data:
- Saldo awal kewajiban imbalan kerja: Rp 1.000.000.000
- Tingkat diskonto: 5% per tahun
- Biaya jasa kini tahun berjalan: Rp 120.000.000
- Tidak ada biaya jasa lalu
- Tidak ada perubahan program manfaat
- Pembayaran manfaat aktual (PHK &amp; pensiun): Rp 100.000.000
Langkah Perhitungan:
 a. Hitung Beban Bunga (Interest Cost)
Beban bunga = Saldo awal kewajiban x tingkat diskonto  
= Rp 1.000.000.000 x 5%  
= Rp 50.000.000
 b. Hitung Beban Tahun Berjalan
Beban tahun berjalan = Biaya jasa kini + Beban bunga  
= Rp 120.000.000 + Rp 50.000.000  
= Rp 170.000.000
 c. Catatan
- Pembayaran manfaat aktual (Rp 100.000.000) tidak masuk ke beban tahun berjalan, tetapi mengurangi saldo kewajiban di neraca.
- Jika ada biaya jasa lalu atau keuntungan/kerugian aktuaria yang diakui langsung di laba rugi, tambahkan/dikurangkan sesuai ketentuan.
---
 3. Referensi Standar Aktuaria
- PSAK 24 (Imbalan Kerja):  
  Paragraf 120-123 menjelaskan komponen beban imbalan kerja yang diakui di laba rugi.
- IAS 19 (Employee Benefits):  
  Paragraf 120-122 mengatur pengakuan biaya jasa kini, bunga, dan biaya jasa lalu.
---
 4. Saran Implementasi
- Pastikan data karyawan dan parameter aktuaria (gaji, usia, masa kerja, tingkat diskonto) selalu diperbarui.
- Lakukan perhitungan secara periodik (tahunan) dan dokumentasikan setiap asumsi yang digunakan.
- Konsultasikan hasil perhitungan dengan auditor dan aktuaria untuk memastikan kepatuhan terhadap PSAK 24/IAS 19.
- Pisahkan pencatatan antara beban tahun berjalan dan pembayaran manfaat aktual untuk memudahkan rekonsiliasi.
---
 Kesimpulan
Beban tahun berjalan adalah jumlah biaya jasa kini dan beban bunga (serta biaya jasa lalu jika ada) yang diakui dalam laba rugi perusahaan selama satu periode. Pembayaran manfaat aktual (termasuk PHK) tidak masuk ke beban tahun berjalan, tetapi mengurangi saldo kewajiban di neraca. Perhitungan ini wajib mengikuti standar PSAK 24/IAS 19.
---
Referensi:
- PSAK 24 (Imbalan Kerja), DSAK IAI
- IAS 19 (Employee Benefits), IFRS Foundation
Jika Anda membutuhkan template perhitungan atau simulasi lebih lanjut, silakan konsultasikan dengan aktuaria perusahaan Anda.</t>
  </si>
  <si>
    <t>Mengapa PVDBO bisa sangat besar walaupun hanya untuk sedikit jumlah karyawan?</t>
  </si>
  <si>
    <t>No Note
Tentu, berikut adalah jawaban komprehensif mengenai mengapa PVDBO (Present Value of Defined Benefit Obligation) bisa sangat besar walaupun hanya untuk sedikit jumlah karyawan, berdasarkan pengetahuan aktuaria dan praktik PSAK 24/IAS 19.
---
 1. Penjelasan Jelas dan Terstruktur
 a. Definisi PVDBO
PVDBO adalah nilai kini dari seluruh kewajiban manfaat pasti yang harus dibayar perusahaan kepada karyawan, dihitung dengan metode aktuaria berdasarkan asumsi demografis dan finansial. PVDBO mencerminkan total kewajiban perusahaan pada tanggal pelaporan.
 b. Faktor Penentu Besarnya PVDBO
Walaupun jumlah karyawan sedikit, PVDBO bisa sangat besar karena beberapa faktor berikut:
 1. Gaji Karyawan Tinggi
Jika karyawan yang tersisa memiliki gaji pokok dan tunjangan yang besar, maka manfaat yang dijanjikan (misal: pesangon, pensiun) juga besar. Karena manfaat biasanya dihitung sebagai persentase dari gaji terakhir, semakin tinggi gaji, semakin besar kewajiban.
 2. Masa Kerja Panjang
Karyawan dengan masa kerja panjang berhak atas manfaat yang lebih besar (misal: pesangon berdasarkan masa kerja). Semakin lama masa kerja, semakin besar faktor pengali manfaat.
 3. Usia Karyawan Mendekati Pensiun
Jika karyawan yang tersisa sudah mendekati usia pensiun, maka waktu diskonto (discounting period) lebih pendek, sehingga nilai kini manfaat menjadi lebih besar.
 4. Asumsi Aktuaria Konservatif
Asumsi tingkat diskonto yang rendah, kenaikan gaji yang tinggi, atau tingkat mortalitas yang rendah akan meningkatkan nilai PVDBO.
 5. Jenis Program Manfaat
Program manfaat pasti (defined benefit) yang sangat generous (misal: pesangon 2x ketentuan UU, atau manfaat pensiun tetap tinggi) akan menghasilkan PVDBO yang besar.
---
 2. Contoh Praktis
Misal:
- Hanya ada 3 karyawan tersisa.
- Gaji rata-rata: Rp 100.000.000 per bulan.
- Masa kerja: 25 tahun.
- Usia: 55 tahun (mendekati pensiun).
- Manfaat pensiun: 2 x gaji terakhir x masa kerja (tahun).
- Tingkat diskonto: 5% (relatif rendah).
Perhitungan sederhana:
- Manfaat per karyawan = 2 x Rp 100.000.000 x 25 = Rp 5.000.000.000
- Total manfaat untuk 3 karyawan = Rp 15.000.000.000
- Karena usia mendekati pensiun, faktor diskonto kecil, sehingga PVDBO mendekati nilai manfaat penuh.
Kesimpulan: Walaupun hanya 3 orang, PVDBO bisa mencapai belasan miliar rupiah karena besarnya manfaat per orang.
---
 3. Referensi Standar Aktuaria
- PSAK 24 (Imbalan Kerja):  
  Menyatakan bahwa PVDBO dihitung berdasarkan nilai kini manfaat pasti yang diharapkan dibayar, menggunakan asumsi aktuaria terbaik (paragraf 57-63).
- IAS 19 (Employee Benefits):  
  Menjelaskan bahwa kewajiban manfaat pasti harus mencerminkan seluruh manfaat yang diharapkan, tanpa memperhatikan jumlah karyawan (paragraf 67-69).
---
 4. Saran Implementasi
- Lakukan analisis sensitivitas: Uji dampak perubahan asumsi (diskonto, kenaikan gaji, usia pensiun) terhadap PVDBO.
- Komunikasikan ke manajemen: Jelaskan bahwa kewajiban besar bisa terjadi walaupun karyawan sedikit, terutama jika profil karyawan senior dan benefit tinggi.
- Pertimbangkan restrukturisasi program manfaat: Jika beban terlalu berat, evaluasi ulang desain program manfaat.
---
 Kesimpulan
PVDBO bisa sangat besar walaupun hanya untuk sedikit karyawan karena besarnya manfaat per orang, usia mendekati pensiun, masa kerja panjang, gaji tinggi, dan asumsi aktuaria yang konservatif. Standar PSAK 24/IAS 19 mengharuskan seluruh manfaat yang dijanjikan dihitung secara aktuaria, tanpa memperhatikan jumlah karyawan.
---
Referensi:
- PSAK 24 (Imbalan Kerja), DSAK IAI
- IAS 19 (Employee Benefits), IFRS Foundation
Jika Anda membutuhkan simulasi lebih detail, silakan konsultasikan dengan aktuaria perusahaan Anda.</t>
  </si>
  <si>
    <t>Apa penyebab biaya jasa lalu naik secara signifikan di tahun valuasi?</t>
  </si>
  <si>
    <t>BJS</t>
  </si>
  <si>
    <t>No Note
Tentu, berikut adalah jawaban komprehensif mengenai penyebab biaya jasa lalu (past service cost) naik secara signifikan di tahun valuasi, berdasarkan standar aktuaria (PSAK 24/IAS 19) dan praktik umum di bidang aktuaria.
---
 1. Penjelasan Jelas dan Terstruktur
 a. Definisi Biaya Jasa Lalu
Biaya jasa lalu (past service cost) adalah kenaikan nilai kini kewajiban imbalan pasti (PVDBO) yang timbul akibat perubahan program manfaat (plan amendment), pengenalan program baru, atau pengurangan manfaat yang berlaku surut terhadap masa kerja sebelumnya.
 b. Penyebab Biaya Jasa Lalu Naik Signifikan
Biaya jasa lalu akan naik secara signifikan di tahun valuasi jika terjadi perubahan besar pada program manfaat yang berlaku surut. Penyebab utamanya meliputi:
 1. Perubahan Program Manfaat (Plan Amendment)
- Peningkatan Manfaat: Jika perusahaan meningkatkan formula manfaat (misal: menaikkan faktor pengali pesangon, menambah komponen manfaat, atau menaikkan plafon manfaat), seluruh masa kerja sebelumnya akan dihitung dengan formula baru, sehingga biaya jasa lalu melonjak.
- Pengenalan Program Baru: Jika perusahaan baru saja memperkenalkan program manfaat pasti yang berlaku surut untuk masa kerja sebelumnya, seluruh masa kerja terdahulu akan dihitung sebagai biaya jasa lalu.
 2. Penyesuaian terhadap Regulasi
- Perubahan Undang-Undang: Jika ada perubahan peraturan ketenagakerjaan (misal: revisi UU Ketenagakerjaan atau PP Pengupahan) yang meningkatkan hak karyawan atas manfaat, maka biaya jasa lalu akan naik untuk menyesuaikan kewajiban dengan ketentuan baru.
- Penerapan ketentuan baru secara retroaktif: Jika perusahaan harus menyesuaikan manfaat sesuai regulasi baru untuk masa kerja sebelumnya.
 3. Perubahan Asumsi Program
- Perubahan usia pensiun normal, masa kerja maksimum, atau komponen gaji yang diperhitungkan dalam manfaat juga dapat menyebabkan biaya jasa lalu naik jika berlaku surut.
---
 2. Contoh Praktis
Contoh 1:
- Sebelumnya, manfaat pensiun dihitung 1x gaji terakhir x masa kerja.
- Tahun ini, perusahaan mengubah formula menjadi 2x gaji terakhir x masa kerja, berlaku untuk seluruh masa kerja sebelumnya.
- Seluruh kenaikan manfaat untuk masa kerja lalu akan diakui sebagai biaya jasa lalu pada tahun perubahan.
Contoh 2:
- Pemerintah menerbitkan regulasi baru yang mewajibkan pesangon minimal 2x dari ketentuan lama, berlaku surut.
- Perusahaan harus menyesuaikan kewajiban untuk seluruh masa kerja terdahulu, sehingga biaya jasa lalu naik signifikan.
---
 3. Referensi Standar Aktuaria
- PSAK 24 (Imbalan Kerja):
  - Paragraf 103-105: Biaya jasa lalu timbul akibat perubahan program manfaat yang berlaku surut dan harus diakui segera dalam laba rugi pada saat perubahan terjadi.
- IAS 19 (Employee Benefits):
  - Paragraf 102-106: Biaya jasa lalu diakui segera pada saat perubahan program manfaat atau pengurangan manfaat terjadi.
---
 4. Saran Implementasi
- Identifikasi perubahan program atau regulasi: Selalu pantau perubahan kebijakan internal dan regulasi eksternal yang dapat mempengaruhi manfaat karyawan.
- Komunikasikan dengan aktuaria: Segera informasikan perubahan program kepada aktuaria agar biaya jasa lalu dapat dihitung dan diakui dengan benar.
- Lakukan simulasi dampak: Sebelum mengubah program manfaat, lakukan simulasi dampak biaya jasa lalu terhadap laporan keuangan.
- Dokumentasikan perubahan: Catat secara jelas alasan dan tanggal perubahan program untuk keperluan audit dan pelaporan.
---
 Kesimpulan
Biaya jasa lalu naik signifikan di tahun valuasi biasanya disebabkan oleh perubahan program manfaat atau regulasi yang meningkatkan manfaat secara retroaktif untuk masa kerja sebelumnya. Hal ini harus diakui segera dalam laba rugi sesuai PSAK 24/IAS 19. Perusahaan perlu memantau dan mengelola perubahan ini secara proaktif untuk menghindari kejutan dalam laporan keuangan.
---
Referensi:
- PSAK 24 (Imbalan Kerja), DSAK IAI
- IAS 19 (Employee Benefits), IFRS Foundation
Jika Anda membutuhkan simulasi atau penjelasan lebih detail terkait kasus spesifik di perusahaan Anda, silakan konsultasikan dengan aktuaria perusahaan.</t>
  </si>
  <si>
    <t>Apakah karyawan yang akan di-PHK tahun berikutnya (setelah tahun valuasi) perlu dimasukkan dalam perhitungan aktuaria?</t>
  </si>
  <si>
    <t>No Note
Tentu, berikut adalah jawaban komprehensif mengenai apakah karyawan yang akan di-PHK tahun berikutnya (setelah tahun valuasi) perlu dimasukkan dalam perhitungan aktuaria, berdasarkan standar aktuaria (PSAK 24/IAS 19) dan praktik umum di bidang aktuaria.
---
 1. Penjelasan Teoritis dan Praktis
 a. Prinsip Dasar Perhitungan Aktuaria
Dalam perhitungan kewajiban imbalan kerja (seperti pesangon, pensiun, atau manfaat pasca-kerja lainnya), aktuaria menghitung nilai kini seluruh manfaat yang diharapkan akan dibayarkan kepada karyawan berdasarkan kondisi dan asumsi pada tanggal valuasi. Perhitungan ini mencakup seluruh karyawan yang masih aktif pada tanggal valuasi, tanpa memperhatikan rencana manajemen di masa depan (misal: rencana PHK tahun depan).
 b. Mengapa Karyawan yang Akan Di-PHK Tetap Dihitung?
- Standar Akuntansi: PSAK 24/IAS 19 mengharuskan seluruh karyawan aktif pada tanggal valuasi dimasukkan dalam perhitungan, kecuali sudah ada keputusan formal dan terkomunikasi mengenai PHK (termination) sebelum tanggal valuasi.
- Asumsi Aktuaria: Perhitungan didasarkan pada probabilitas keluar (turnover), pensiun, kematian, dan PHK secara statistik, bukan pada rencana individual yang belum pasti.
- Kepastian Akuntansi: Hanya jika PHK sudah diputuskan secara formal dan diumumkan sebelum tanggal valuasi, maka karyawan tersebut dapat diperlakukan sebagai "terminated" dan manfaatnya dihitung sebagai termination benefit, bukan sebagai bagian dari DBO (Defined Benefit Obligation) reguler.
---
 2. Contoh Praktis
Situasi:
- Tanggal valuasi: 31 Desember 2023
- Manajemen berencana melakukan PHK terhadap 10 karyawan pada Maret 2024, tetapi belum ada keputusan formal atau komunikasi resmi hingga 31 Desember 2023.
Perlakuan Aktuaria:
- Karyawan tersebut tetap dimasukkan dalam perhitungan DBO pada 31 Desember 2023 sebagai karyawan aktif.
- Asumsi keluar (turnover) yang digunakan adalah asumsi statistik, bukan rencana PHK spesifik.
- Jika pada tahun berikutnya PHK benar-benar terjadi, maka manfaat yang dibayarkan akan diakui sebagai settlement/termination benefit pada tahun tersebut.
---
 3. Referensi Standar Aktuaria
- PSAK 24 (Imbalan Kerja):
  - Paragraf 133-135: Manfaat terminasi (termination benefits) hanya diakui jika perusahaan telah berkomitmen secara formal dan tidak dapat dibatalkan untuk memberhentikan karyawan sebelum tanggal normal pensiun.
  - Paragraf 57-63: DBO dihitung untuk seluruh karyawan aktif pada tanggal valuasi.
- IAS 19 (Employee Benefits):
  - Paragraf 159-170: Manfaat terminasi diakui hanya jika ada komitmen formal sebelum tanggal pelaporan.
---
 4. Saran Implementasi
- Pastikan data karyawan aktif pada tanggal valuasi sudah lengkap dan akurat.
- Jangan keluarkan karyawan dari perhitungan DBO hanya karena ada rencana PHK di masa depan, kecuali sudah ada keputusan formal dan komunikasi resmi sebelum tanggal valuasi.
- Jika PHK sudah pasti dan diumumkan sebelum tanggal valuasi, konsultasikan dengan aktuaria untuk perlakuan sebagai termination benefit.
- Dokumentasikan setiap keputusan manajemen terkait PHK untuk keperluan audit dan pelaporan.
---
 Kesimpulan
Karyawan yang akan di-PHK tahun berikutnya tetap harus dimasukkan dalam perhitungan aktuaria pada tahun valuasi, kecuali PHK tersebut sudah diputuskan secara formal dan diumumkan sebelum tanggal valuasi. Hal ini sesuai dengan prinsip kehati-hatian dan standar PSAK 24/IAS 19, yang menekankan bahwa perhitungan DBO didasarkan pada kondisi dan asumsi pada tanggal valuasi, bukan pada rencana masa depan yang belum pasti.
---
Referensi:
- PSAK 24 (Imbalan Kerja), DSAK IAI
- IAS 19 (Employee Benefits), IFRS Foundation
Jika Anda membutuhkan simulasi atau penjelasan lebih detail terkait kasus spesifik di perusahaan Anda, silakan konsultasikan dengan aktuaria perusahaan.</t>
  </si>
  <si>
    <t>Bagaimana cara aktuaris memperlakukan realisasi manfaat non-PHK (pensiun, meninggal, cacat) dalam valuasi aktuaria?</t>
  </si>
  <si>
    <t>Realisasi non PHK</t>
  </si>
  <si>
    <t>No Note
Tentu, berikut adalah jawaban komprehensif mengenai bagaimana aktuaris memperlakukan realisasi manfaat non-PHK (pensiun, meninggal, cacat) dalam valuasi aktuaria, berdasarkan standar PSAK 24/IAS 19 dan praktik aktuaria umum, mengingat tidak ada dokumen relevan yang ditemukan.
---
 1. Penjelasan Teoritis dan Praktis
 a. Definisi Realisasi Manfaat Non-PHK
Realisasi manfaat non-PHK adalah pembayaran manfaat kepada karyawan yang keluar karena pensiun, meninggal dunia, atau cacat (bukan karena pemutusan hubungan kerja/PHK). Manfaat ini biasanya sudah diatur dalam program manfaat pasti (defined benefit plan) perusahaan.
 b. Perlakuan dalam Valuasi Aktuaria
 1. Pengurangan Data Karyawan Aktif
- Karyawan yang sudah pensiun, meninggal, atau cacat sebelum tanggal valuasi tidak lagi dimasukkan sebagai karyawan aktif dalam data valuasi.
- Mereka dikeluarkan dari daftar peserta aktif, sehingga kewajiban (PVDBO) untuk mereka sudah tidak dihitung lagi pada valuasi berikutnya.
 2. Pengakuan Pembayaran Manfaat
- Manfaat yang sudah dibayarkan (misal: pesangon pensiun, santunan kematian, manfaat cacat) akan mengurangi kewajiban aktuaria (PVDBO) pada periode pembayaran.
- Dalam laporan keuangan, pembayaran manfaat ini dicatat sebagai pengurangan liabilitas imbalan kerja dan kas perusahaan.
 3. Rekonsiliasi Mutasi Kewajiban
- Dalam rekonsiliasi mutasi DBO (Defined Benefit Obligation), pembayaran manfaat non-PHK dicatat sebagai “benefits paid” atau “manfaat yang dibayarkan”.
- Ini adalah salah satu komponen utama dalam rekonsiliasi perubahan DBO dari awal hingga akhir periode.
 4. Dampak pada Biaya Imbalan Kerja
- Pembayaran manfaat non-PHK tidak mempengaruhi biaya jasa kini (current service cost), tetapi akan mengurangi saldo DBO.
- Jika pembayaran manfaat lebih besar atau lebih kecil dari estimasi aktuaria sebelumnya, selisihnya akan tercermin dalam “gains/losses” aktuaria (actuarial gains/losses).
---
 2. Contoh Praktis
Misal:
- Pada tahun 2023, 5 karyawan pensiun dan menerima manfaat pensiun sesuai ketentuan program.
- Total manfaat yang dibayarkan: Rp 2.000.000.000
Perlakuan:
- Pada valuasi aktuaria per 31 Desember 2023, 5 karyawan tersebut dikeluarkan dari data aktif.
- Rp 2.000.000.000 dicatat sebagai “manfaat yang dibayarkan” dan mengurangi DBO.
- Jika manfaat aktual berbeda dari estimasi, selisihnya masuk ke actuarial gain/loss.
---
 3. Referensi Standar Aktuaria
- PSAK 24 (Imbalan Kerja):
  - Paragraf 57-63: DBO dihitung untuk karyawan aktif; manfaat yang sudah dibayarkan mengurangi kewajiban.
  - Paragraf 141: Mutasi DBO harus merekonsiliasi saldo awal dan akhir, termasuk manfaat yang dibayarkan.
- IAS 19 (Employee Benefits):
  - Paragraf 67-69: Pembayaran manfaat mengurangi DBO.
  - Paragraf 141: Rekonsiliasi DBO harus menunjukkan manfaat yang dibayarkan selama periode.
---
 4. Saran Implementasi
- Pastikan data mutasi karyawan (pensiun, meninggal, cacat) selalu diperbarui dan akurat sebelum valuasi.
- Catat pembayaran manfaat secara terpisah untuk memudahkan rekonsiliasi DBO.
- Komunikasikan dengan aktuaria setiap ada pembayaran manfaat besar agar proyeksi dan rekonsiliasi tetap akurat.
- Lakukan review periodik atas selisih antara manfaat aktual dan estimasi untuk mengidentifikasi potensi actuarial gain/loss.
---
 Kesimpulan
Aktuaris memperlakukan realisasi manfaat non-PHK (pensiun, meninggal, cacat) dengan mengeluarkan karyawan terkait dari data aktif, mencatat pembayaran manfaat sebagai pengurang DBO, dan merekonsiliasi perubahan kewajiban dalam laporan valuasi. Perlakuan ini sesuai dengan PSAK 24/IAS 19 dan praktik aktuaria internasional.
---
Referensi:
- PSAK 24 (Imbalan Kerja), DSAK IAI
- IAS 19 (Employee Benefits), IFRS Foundation
Jika Anda membutuhkan template rekonsiliasi DBO atau contoh laporan mutasi, silakan konsultasikan dengan aktuaria perusahaan Anda.</t>
  </si>
  <si>
    <t>bagaimana perlakuan untuk benefit paid yang dicicil dalam IPK</t>
  </si>
  <si>
    <t>Combine Support dengan note
Tentu, berikut adalah jawaban komprehensif mengenai perlakuan benefit paid yang dicicil dalam program Imbalan Pasca Kerja (IPK), berdasarkan pengetahuan aktuaria umum dan standar PSAK 24/IAS 19, karena dokumen yang Anda lampirkan tidak memuat informasi spesifik.
---
 1. Penjelasan Teoritis dan Praktis
 a. Definisi Benefit Paid Dicicil
Benefit paid yang dicicil adalah pembayaran manfaat imbalan pasca kerja (misal: pesangon, pensiun, atau manfaat lain) yang tidak dibayarkan sekaligus (lump sum) saat karyawan keluar, melainkan dicicil dalam beberapa periode (misal: bulanan, tahunan).
 b. Perlakuan Aktuaria dalam Valuasi
 1. Pengakuan Pengurangan DBO
- Pada saat manfaat mulai dicicil: Ketika karyawan keluar dan hak manfaatnya sudah pasti, seluruh nilai kini manfaat (present value of benefit) yang akan dibayarkan—baik sekaligus maupun dicicil—harus dikeluarkan dari DBO (Defined Benefit Obligation) peserta aktif.
- Seluruh manfaat yang akan dibayarkan (baik lump sum maupun cicilan) dianggap sebagai benefit paid pada tanggal manfaat mulai dibayarkan.
 2. Pengakuan Liabilitas Baru (Jika Relevan)
- Jika pembayaran manfaat dicicil dalam jangka waktu lebih dari satu tahun, maka setelah dikeluarkan dari DBO, sisa manfaat yang belum dibayar dapat diakui sebagai liabilitas terpisah (misal: “liabilitas manfaat pasca kerja yang masih harus dibayar”).
- Nilai liabilitas ini adalah nilai kini dari sisa cicilan yang akan dibayarkan, didiskontokan dengan asumsi diskonto aktuaria yang sama.
 3. Rekonsiliasi DBO
- Dalam rekonsiliasi DBO, seluruh nilai kini manfaat yang menjadi hak karyawan pada saat keluar (baik yang sudah dibayar maupun yang akan dicicil) dicatat sebagai “benefit paid” pada tahun tersebut.
- Pembayaran cicilan di tahun-tahun berikutnya tidak lagi mempengaruhi DBO, tetapi mengurangi liabilitas manfaat yang masih harus dibayar.
---
 2. Contoh Praktis
Contoh:
- Seorang karyawan pensiun pada 31 Desember 2023 dan berhak atas manfaat Rp 120 juta, yang akan dibayarkan dalam 3 tahun (Rp 40 juta per tahun).
- Pada tanggal valuasi, seluruh nilai kini dari Rp 120 juta (didiskontokan jika pembayaran di masa depan) dikeluarkan dari DBO dan dicatat sebagai benefit paid.
- Jika perusahaan belum membayar seluruhnya, maka sisa cicilan (misal: Rp 80 juta untuk tahun ke-2 dan ke-3, didiskontokan ke tanggal valuasi) diakui sebagai liabilitas terpisah di neraca.
---
 3. Referensi Standar Aktuaria
- PSAK 24 (Imbalan Kerja):
  - Paragraf 141: Mutasi DBO harus merekonsiliasi saldo awal dan akhir, termasuk manfaat yang dibayarkan (“benefits paid”).
  - Paragraf 57-63: DBO dihitung untuk karyawan aktif; manfaat yang sudah menjadi hak dan akan dibayarkan mengurangi DBO.
- IAS 19 (Employee Benefits):
  - Paragraf 67-69: Pembayaran manfaat mengurangi DBO; jika manfaat dibayarkan secara bertahap, nilai kini seluruh manfaat tetap dikeluarkan dari DBO pada saat hak timbul.
---
 4. Saran Implementasi
- Pastikan pencatatan manfaat yang dicicil dilakukan secara terpisah antara DBO dan liabilitas manfaat yang masih harus dibayar.
- Diskontokan sisa cicilan manfaat ke tanggal pelaporan untuk mencerminkan nilai kini liabilitas.
- Komunikasikan dengan auditor dan aktuaria agar perlakuan akuntansi dan aktuaria konsisten.
- Dokumentasikan jadwal pembayaran cicilan dan pastikan rekonsiliasi antara pembayaran aktual dan liabilitas yang tersisa.
---
 Kesimpulan
Benefit paid yang dicicil dalam IPK harus dikeluarkan seluruhnya dari DBO pada saat hak manfaat timbul (misal: saat pensiun), dengan nilai kini seluruh manfaat yang akan dibayarkan. Sisa cicilan yang belum dibayar diakui sebagai liabilitas terpisah dan didiskontokan ke tanggal pelaporan. Perlakuan ini sesuai dengan PSAK 24/IAS 19 dan praktik aktuaria internasional.
---
Referensi:
- PSAK 24 (Imbalan Kerja), DSAK IAI
- IAS 19 (Employee Benefits), IFRS Foundation
Jika Anda memerlukan template rekonsiliasi atau simulasi perhitungan, silakan konsultasikan dengan aktuaria perusahaan Anda.</t>
  </si>
  <si>
    <t xml:space="preserve">No Note
Tentu, berikut adalah jawaban komprehensif dan terstruktur mengenai mengapa nilai kewajiban OLTEB per tahun valuasi bisa turun drastis dibandingkan tahun sebelumnya, dengan penjelasan praktis, referensi standar aktuaria, dan saran implementasi.
---
 1. Penjelasan Teoritis dan Praktis
OLTEB (Other Long-Term Employee Benefits) adalah manfaat jangka panjang selain imbalan pasca-kerja, seperti cuti panjang, penghargaan masa kerja, dan manfaat serupa. Nilai kewajiban OLTEB dihitung dengan metode aktuaria, memperhitungkan estimasi manfaat di masa depan yang didiskontokan ke nilai saat ini.
Penurunan drastis nilai kewajiban OLTEB dari satu tahun ke tahun berikutnya dapat disebabkan oleh beberapa faktor utama:
 a. Perubahan Asumsi Aktuaria
- Tingkat Diskonto (Discount Rate): Kenaikan tingkat diskonto (misal, akibat naiknya yield obligasi pemerintah) akan menurunkan nilai kini kewajiban. Ini adalah penyebab paling umum penurunan tajam.
- Asumsi Kenaikan Gaji: Jika proyeksi kenaikan gaji diturunkan, proyeksi manfaat yang akan dibayarkan juga menurun.
- Asumsi Mortalitas/Morbiditas: Jika asumsi mortalitas diperbarui sehingga harapan hidup lebih pendek, kewajiban turun.
 b. Perubahan Data Karyawan
- Pengurangan Jumlah Karyawan: Banyak karyawan keluar, pensiun, atau diberhentikan, sehingga basis perhitungan kewajiban berkurang.
- Perubahan Komposisi Usia: Jika proporsi karyawan muda meningkat, kewajiban jangka pendek menurun.
 c. Pembayaran Manfaat
- Pembayaran Manfaat Besar: Jika perusahaan membayar manfaat OLTEB dalam jumlah besar pada tahun berjalan (misal, banyak karyawan mengambil cuti panjang atau menerima penghargaan masa kerja), maka saldo kewajiban menurun.
 d. Perubahan Kebijakan Perusahaan
- Perubahan Program OLTEB: Jika perusahaan mengurangi atau menghapus beberapa manfaat OLTEB, kewajiban otomatis turun.
 e. Penyesuaian Akuntansi/Data
- Koreksi Data atau Metode: Koreksi data karyawan atau perubahan metode perhitungan dapat menyebabkan penurunan kewajiban.
---
 2. Contoh Praktis
Misal, pada tahun 2022 tingkat diskonto 6%, lalu pada tahun 2023 naik menjadi 8%. Dengan manfaat yang sama, nilai kini kewajiban akan turun signifikan.
Contoh Perhitungan:
- Manfaat akan dibayarkan 5 tahun lagi = Rp 100 juta.
- Nilai kini diskonto 6%:  
  \( PV = 100,000,000 / (1.06)^5 = Rp 74,7 juta \)
- Nilai kini diskonto 8%:  
  \( PV = 100,000,000 / (1.08)^5 = Rp 68,1 juta \)
- Penurunan nilai kini: Rp 6,6 juta (sekitar 9%).
Jika terjadi pembayaran manfaat besar atau pengurangan karyawan, penurunan bisa lebih besar lagi.
---
 3. Referensi Standar Aktuaria
- PSAK 24 (IAS 19): Mengatur pengakuan, pengukuran, dan pengungkapan imbalan kerja, termasuk OLTEB. Penurunan nilai kewajiban harus dijelaskan dalam catatan atas laporan keuangan.
- PSAK 24 Paragraf 75-76: Menjelaskan perlakuan perubahan asumsi aktuaria dan dampaknya pada nilai kewajiban.
- ISAK 15: Terkait pengungkapan perubahan asumsi dan dampaknya.
---
 4. Saran Implementasi
- Analisis Sensitivitas: Lakukan analisis sensitivitas untuk mengetahui dampak perubahan asumsi utama (diskonto, kenaikan gaji, mortalitas) terhadap nilai kewajiban.
- Dokumentasi Perubahan: Catat dan dokumentasikan setiap perubahan asumsi, data, atau kebijakan yang mempengaruhi perhitungan kewajiban.
- Komunikasi dengan Auditor: Pastikan perubahan signifikan dikomunikasikan dengan auditor dan dijelaskan dalam laporan keuangan.
- Review Berkala: Lakukan review berkala atas asumsi dan data untuk memastikan kewajiban yang diakui tetap relevan dan andal.
---
 Kesimpulan
Penurunan drastis nilai kewajiban OLTEB biasanya disebabkan oleh perubahan asumsi aktuaria (terutama tingkat diskonto), perubahan data karyawan, pembayaran manfaat, atau perubahan kebijakan perusahaan. Penting untuk melakukan analisis mendalam dan dokumentasi yang baik atas setiap perubahan yang terjadi, serta mengacu pada standar akuntansi dan aktuaria yang berlaku (PSAK 24/IAS 19).
---
Referensi:
- PSAK 24: Imbalan Kerja
- ISAK 15: PSAK 24 – Batas Aset Imbalan Pasti, Persyaratan Pendanaan Minimum, dan Interaksinya
- International Actuarial Standards of Practice (IASP) 3: Employee Benefits
Jika membutuhkan analisis lebih lanjut atau template analisis sensitivitas, silakan hubungi aktuaria perusahaan Anda.
</t>
  </si>
  <si>
    <t>apakah pada perhitungan OTLEB terdapat OCI?</t>
  </si>
  <si>
    <t>No Note
Tentu, berikut adalah jawaban komprehensif terkait apakah pada perhitungan OLTEB (Other Long-Term Employee Benefits) terdapat OCI (Other Comprehensive Income), dengan penjelasan teoritis, praktis, dan referensi standar aktuaria yang berlaku.
---
 1. Penjelasan Teoritis
 a. Definisi OLTEB dan OCI
- OLTEB adalah manfaat kerja jangka panjang selain imbalan pasca-kerja, misalnya cuti panjang, penghargaan masa kerja, dan manfaat serupa.
- OCI (Other Comprehensive Income) adalah komponen laporan laba rugi komprehensif lain yang mencatat keuntungan/kerugian aktuaria tertentu yang tidak langsung diakui di laba rugi.
 b. Pengakuan Keuntungan/Kerugian Aktuaria
Berdasarkan PSAK 24 (IAS 19):
- Untuk imbalan pasca-kerja (misal: pensiun), keuntungan/kerugian aktuaria diakui di OCI.
- Untuk OLTEB, keuntungan/kerugian aktuaria tidak diakui di OCI, melainkan langsung diakui di laba rugi pada periode terjadinya.
 c. Alasan Perlakuan Berbeda
- OLTEB umumnya memiliki volatilitas yang lebih rendah dan periode jatuh tempo yang lebih pendek dibanding imbalan pasca-kerja, sehingga PSAK 24 mengatur agar seluruh perubahan aktuaria (termasuk perubahan asumsi dan pengalaman) langsung diakui di laba rugi, bukan di OCI.
---
 2. Contoh Praktis
Misal, pada tahun berjalan terjadi perubahan asumsi tingkat diskonto yang menyebabkan nilai kewajiban OLTEB turun Rp 100 juta. Selisih ini langsung diakui sebagai pendapatan (pengurangan beban) di laba rugi, bukan di OCI.
Sebaliknya, untuk program pensiun (imbalan pasca-kerja), perubahan aktuaria seperti ini akan diakui di OCI.
---
 3. Referensi Standar Aktuaria
- PSAK 24 (IAS 19) Paragraf 153-154:  
  &gt; "Keuntungan atau kerugian aktuaria dan perubahan asumsi keuangan dan demografis untuk OLTEB diakui langsung dalam laba rugi pada periode terjadinya."
- IAS 19 Paragraf 158:  
  &gt; "Keuntungan dan kerugian aktuaria untuk OLTEB tidak diakui di OCI, tetapi diakui di laba rugi."
---
 4. Saran Implementasi
- Pastikan pemisahan jenis manfaat: Bedakan antara OLTEB dan imbalan pasca-kerja dalam laporan keuangan.
- Akui seluruh perubahan aktuaria OLTEB di laba rugi: Jangan catat di OCI.
- Dokumentasikan dasar pengakuan: Sertakan referensi PSAK 24 dalam catatan atas laporan keuangan untuk memperjelas perlakuan akuntansi.
---
 Kesimpulan
Pada perhitungan OLTEB, keuntungan atau kerugian aktuaria TIDAK diakui di OCI, melainkan langsung diakui di laba rugi pada periode terjadinya. Hal ini berbeda dengan imbalan pasca-kerja seperti pensiun, di mana keuntungan/kerugian aktuaria diakui di OCI.
---
Referensi:
- PSAK 24: Imbalan Kerja, Paragraf 153-154
- IAS 19: Employee Benefits, Paragraf 158
Jika membutuhkan penjelasan lebih lanjut atau contoh pengungkapan di laporan keuangan, silakan hubungi tim aktuaria Anda.</t>
  </si>
  <si>
    <t>apaa perbedaan OTLEB dan CBS</t>
  </si>
  <si>
    <t>OTLEB, CBS</t>
  </si>
  <si>
    <t>No Note
Tentu, berikut penjelasan komprehensif mengenai perbedaan OTLEB (Other Long-Term Employee Benefits) dan CBS (Compensated Absences/Compensated Benefits Scheme), berdasarkan pengetahuan aktuaria dan standar akuntansi yang berlaku, karena tidak ada informasi spesifik dalam dokumen yang Anda lampirkan.
---
 1. Definisi dan Ruang Lingkup
 a. OTLEB (Other Long-Term Employee Benefits)
- Definisi: OTLEB adalah manfaat kerja jangka panjang selain imbalan pasca-kerja (seperti pensiun) dan pesangon. Contoh: cuti panjang yang tidak diambil dalam satu tahun, penghargaan masa kerja, bonus jangka panjang, tunjangan cacat jangka panjang, dsb.
- Karakteristik:  
  - Jangka waktu manfaat: Diberikan lebih dari 12 bulan setelah akhir periode pelaporan di mana jasa diberikan.
  - Tidak termasuk pensiun, pesangon, atau imbalan jangka pendek.
- Pengakuan Akuntansi:  
  - Mengacu pada PSAK 24 (IAS 19).
  - Keuntungan/kerugian aktuaria langsung diakui di laba rugi, bukan di OCI.
 b. CBS (Compensated Absences/Compensated Benefits Scheme)
- Definisi: CBS umumnya merujuk pada imbalan cuti yang diberikan kepada karyawan, baik cuti tahunan, cuti sakit, atau cuti panjang, yang dapat diakumulasi atau tidak.
- Karakteristik:  
  - Bisa berupa cuti jangka pendek (misal: cuti tahunan) atau cuti jangka panjang (misal: cuti besar setelah masa kerja tertentu).
  - Cuti dapat diakumulasi (carry forward) atau tidak, dan dapat diuangkan atau tidak.
- Pengakuan Akuntansi:  
  - Jika cuti dapat diakumulasi dan digunakan di masa depan, maka diakui sebagai kewajiban.
  - Jika cuti tidak dapat diakumulasi, biasanya diakui saat cuti diambil.
---
 2. Perbedaan Utama
| Aspek                  | OTLEB                                              | CBS (Compensated Absences)                      |
|------------------------|----------------------------------------------------|-------------------------------------------------|
| Ruang Lingkup      | Semua manfaat kerja jangka panjang selain pensiun  | Fokus pada cuti (annual leave, sick leave, dll) |
| Contoh             | Cuti panjang, penghargaan masa kerja, bonus LT     | Cuti tahunan, cuti sakit, cuti besar            |
| Jangka Waktu       | &gt;12 bulan setelah jasa diberikan                   | Bisa jangka pendek (&lt;12 bulan) atau panjang     |
| Pengakuan Aktuaria | Metode aktuaria, langsung di laba rugi             | Tergantung jenis cuti (akumulatif/tidak)        |
| Standar Akuntansi  | PSAK 24 (IAS 19)                                   | PSAK 24 (IAS 19), khusus bagian cuti            |
| OCI                | Tidak ada, langsung ke laba rugi                   | Tidak ada, langsung ke laba rugi                |
---
 3. Contoh Praktis
- OTLEB:  
  Seorang karyawan berhak atas cuti besar setelah 10 tahun bekerja, yang dapat diuangkan jika tidak diambil. Kewajiban ini dihitung secara aktuaria dan diakui sebagai OTLEB.
- CBS:  
  Karyawan mendapat cuti tahunan 12 hari. Jika cuti dapat diakumulasi dan diuangkan, perusahaan harus mengakui kewajiban atas cuti yang belum diambil pada akhir tahun.
---
 4. Referensi Standar Akuntansi
- PSAK 24 (IAS 19):  
  - Paragraf 8-9: Definisi imbalan kerja, termasuk OTLEB dan cuti.
  - Paragraf 13-16: Penjelasan tentang compensated absences.
  - Paragraf 153-154: Perlakuan keuntungan/kerugian aktuaria untuk OTLEB.
- IAS 19 Employee Benefits:  
  - Paragraf 8, 13-16, 153-158.
---
 5. Saran Implementasi
- Identifikasi Jenis Manfaat: Pastikan perusahaan membedakan antara cuti jangka pendek, cuti jangka panjang, dan manfaat jangka panjang lain.
- Pengakuan Kewajiban:  
  - Untuk cuti yang dapat diakumulasi dan digunakan di masa depan, akui sebagai kewajiban sesuai PSAK 24.
  - Untuk manfaat jangka panjang lain, gunakan metode aktuaria dan akui perubahan langsung di laba rugi.
- Dokumentasi: Catat dasar pengakuan dan metode perhitungan dalam catatan atas laporan keuangan.
---
 Kesimpulan
OTLEB adalah kategori manfaat kerja jangka panjang selain pensiun dan pesangon, termasuk cuti panjang, penghargaan masa kerja, dsb, yang dihitung secara aktuaria dan diakui langsung di laba rugi. CBS adalah skema cuti yang diberikan kepada karyawan, yang pengakuannya tergantung pada apakah cuti dapat diakumulasi atau tidak. Keduanya diatur dalam PSAK 24, namun OTLEB lebih luas cakupannya dibanding CBS.
---
Referensi:
- PSAK 24: Imbalan Kerja (Paragraf 8-16, 153-154)
- IAS 19: Employee Benefits
Jika membutuhkan contoh perhitungan atau template pengungkapan, silakan hubungi tim aktuaria Anda.</t>
  </si>
  <si>
    <t>apakah boleh untuk tidak menghitung OTLEB</t>
  </si>
  <si>
    <t>No Note
Tentu, berikut adalah jawaban komprehensif terkait apakah boleh untuk tidak menghitung OTLEB (Other Long-Term Employee Benefits), berdasarkan standar akuntansi dan praktik aktuaria yang berlaku, serta pengetahuan umum karena tidak ada dokumen spesifik yang relevan ditemukan.
---
 1. Penjelasan Teoritis
 a. Kewajiban Pengakuan OTLEB
Menurut PSAK 24 (IAS 19) – Imbalan Kerja, perusahaan wajib mengakui dan mengukur seluruh kewajiban imbalan kerja, termasuk OTLEB, jika:
- Karyawan telah memberikan jasa yang menimbulkan hak atas manfaat tersebut, dan
- Manfaat tersebut merupakan bagian dari perjanjian kerja atau kebijakan perusahaan.
OTLEB mencakup manfaat jangka panjang selain pensiun dan pesangon, seperti cuti panjang, penghargaan masa kerja, bonus jangka panjang, dan tunjangan cacat jangka panjang.
 b. Larangan untuk Tidak Menghitung OTLEB
- Tidak diperbolehkan untuk tidak menghitung OTLEB jika perusahaan memang memiliki program atau kebijakan yang memberikan manfaat tersebut kepada karyawan.
- Mengabaikan perhitungan OTLEB berarti laporan keuangan tidak mencerminkan seluruh kewajiban perusahaan secara wajar dan dapat menimbulkan temuan audit atau pelanggaran standar akuntansi.
---
 2. Contoh Praktis
- Jika perusahaan memiliki kebijakan cuti besar yang dapat diuangkan setelah 10 tahun kerja, maka perusahaan wajib menghitung dan mengakui kewajiban OTLEB atas hak cuti besar yang telah diakumulasi oleh karyawan.
- Jika perusahaan tidak memiliki program OTLEB sama sekali (misal, tidak ada cuti panjang, penghargaan masa kerja, dsb.), maka tidak ada kewajiban yang perlu dihitung atau diakui.
---
 3. Referensi Standar Akuntansi
- PSAK 24 (IAS 19) Paragraf 8-9, 155-156:  
  Menyatakan bahwa seluruh imbalan kerja, termasuk OTLEB, harus diakui dan diukur jika karyawan telah memberikan jasa yang menimbulkan kewajiban bagi perusahaan.
- ISA 315 &amp; 330 (Audit):  
  Auditor akan memeriksa kelengkapan pengakuan kewajiban imbalan kerja, termasuk OTLEB.
---
 4. Saran Implementasi
- Identifikasi Program Manfaat:  
  Lakukan inventarisasi seluruh kebijakan dan praktik perusahaan terkait manfaat jangka panjang selain pensiun dan pesangon.
- Konsultasi dengan Aktuaris:  
  Jika ada program OTLEB, lakukan perhitungan aktuaria secara periodik.
- Dokumentasi:  
  Jika memang tidak ada program OTLEB, dokumentasikan hasil penelaahan tersebut untuk keperluan audit dan pelaporan.
- Pengungkapan:  
  Jelaskan dalam catatan atas laporan keuangan jika tidak ada program OTLEB, agar jelas bagi auditor dan pemangku kepentingan.
---
 5. Kesimpulan
Tidak boleh untuk tidak menghitung OTLEB jika perusahaan memiliki program atau kebijakan yang memberikan manfaat jangka panjang selain pensiun dan pesangon kepada karyawan. Pengakuan dan pengukuran OTLEB adalah kewajiban sesuai PSAK 24 (IAS 19). Namun, jika memang tidak ada program OTLEB di perusahaan, maka tidak ada kewajiban yang perlu dihitung atau diakui—tetapi hal ini harus didokumentasikan dan diungkapkan dengan jelas.
---
Referensi:
- PSAK 24: Imbalan Kerja (Paragraf 8-9, 155-156)
- IAS 19: Employee Benefits
Jika membutuhkan template inventarisasi manfaat atau contoh pengungkapan di laporan keuangan, silakan hubungi tim aktuaria atau akuntansi Anda.</t>
  </si>
  <si>
    <t>apakah penghargaan emas termasuk dalam OTLEB</t>
  </si>
  <si>
    <t>No Note
Tentu, berikut adalah jawaban komprehensif mengenai apakah penghargaan emas termasuk dalam OTLEB (Other Long-Term Employee Benefits), berdasarkan standar akuntansi dan praktik aktuaria yang berlaku, serta pengetahuan umum karena tidak ada dokumen spesifik yang relevan ditemukan.
---
 1. Penjelasan Teoritis
 a. Definisi OTLEB
Menurut PSAK 24 (IAS 19) – Imbalan Kerja, OTLEB adalah manfaat kerja jangka panjang selain imbalan pasca-kerja (pensiun) dan pesangon. Contoh OTLEB meliputi:
- Cuti panjang yang dapat diuangkan,
- Penghargaan masa kerja (long service awards),
- Bonus jangka panjang,
- Tunjangan cacat jangka panjang, dsb.
 b. Karakteristik OTLEB
- Jangka waktu: Manfaat diberikan lebih dari 12 bulan setelah akhir periode pelaporan di mana jasa diberikan.
- Bukan pensiun atau pesangon: Tidak termasuk dalam kategori imbalan pasca-kerja atau pesangon.
---
 2. Penghargaan Emas sebagai OTLEB
 a. Praktik Umum
Penghargaan emas biasanya diberikan kepada karyawan yang telah mencapai masa kerja tertentu (misal: 20 atau 25 tahun). Penghargaan ini bisa berupa emas batangan, logam mulia, atau bentuk penghargaan lain yang bernilai ekonomi.
 b. Klasifikasi Akuntansi
- Jika penghargaan emas diberikan sebagai bentuk penghargaan masa kerja dan diberikan setelah karyawan mencapai masa kerja tertentu (misal, setelah 20 tahun), maka penghargaan emas dikategorikan sebagai OTLEB.
- Hal ini karena manfaat tersebut:
  - Tidak diberikan setiap tahun,
  - Tidak termasuk dalam imbalan jangka pendek,
  - Tidak termasuk pensiun atau pesangon,
  - Biasanya diberikan lebih dari 12 bulan setelah jasa diberikan.
 c. Perlakuan Akuntansi
- Kewajiban atas penghargaan emas harus dihitung secara aktuaria, memperhitungkan kemungkinan karyawan memenuhi syarat, nilai manfaat, dan didiskontokan ke nilai kini.
- Keuntungan/kerugian aktuaria atas perubahan asumsi langsung diakui di laba rugi (bukan di OCI).
---
 3. Contoh Praktis
Misal, perusahaan memberikan emas 10 gram kepada karyawan yang mencapai masa kerja 20 tahun. Setiap tahun, perusahaan harus menghitung kewajiban atas penghargaan ini untuk seluruh karyawan yang berpotensi memenuhi syarat, menggunakan metode aktuaria sesuai PSAK 24.
---
 4. Referensi Standar Akuntansi
- PSAK 24 (IAS 19):
  - Paragraf 8-9: Definisi imbalan kerja, termasuk OTLEB.
  - Paragraf 155-156: Pengakuan dan pengukuran OTLEB.
- IAS 19 Employee Benefits:
  - Paragraf 155: Contoh OTLEB termasuk penghargaan masa kerja (long-service awards).
---
 5. Saran Implementasi
- Identifikasi seluruh program penghargaan masa kerja (termasuk penghargaan emas) dalam kebijakan perusahaan.
- Lakukan perhitungan aktuaria secara periodik untuk menghitung kewajiban OTLEB atas penghargaan emas.
- Ungkapkan dalam laporan keuangan sesuai PSAK 24, baik nilai kewajiban maupun asumsi yang digunakan.
---
 Kesimpulan
Penghargaan emas yang diberikan sebagai penghargaan masa kerja (long service award) termasuk dalam kategori OTLEB (Other Long-Term Employee Benefits) menurut PSAK 24/IAS 19. Kewajiban atas manfaat ini harus dihitung secara aktuaria dan diakui dalam laporan keuangan perusahaan.
---
Referensi:
- PSAK 24: Imbalan Kerja (Paragraf 8-9, 155-156)
- IAS 19: Employee Benefits (Paragraf 155)
Jika membutuhkan contoh perhitungan atau template pengungkapan, silakan hubungi tim aktuaria Anda.</t>
  </si>
  <si>
    <t>Apa maksud dari "Jangka waktu: Manfaat diberikan lebih dari 12 bulan setelah akhir periode pelaporan di mana jasa diberikan." dalam karakteristik OTLEB</t>
  </si>
  <si>
    <t>Tentu, berikut penjelasan komprehensif mengenai maksud dari "Jangka waktu: Manfaat diberikan lebih dari 12 bulan setelah akhir periode pelaporan di mana jasa diberikan" dalam karakteristik OTLEB (Other Long-Term Employee Benefits), berdasarkan standar akuntansi dan praktik aktuaria yang berlaku.
---
 1. Penjelasan Teoritis
 a. Makna Frasa Tersebut
Frasa ini berasal dari definisi OTLEB dalam PSAK 24 (IAS 19), yang membedakan antara berbagai jenis imbalan kerja berdasarkan waktu pembayaran manfaatnya.
- "Periode pelaporan" adalah tahun buku atau periode akuntansi yang sedang dilaporkan (misal, 31 Desember 2023).
- "Jasa diberikan" berarti karyawan telah bekerja dan berhak atas manfaat tertentu pada periode tersebut.
- "Manfaat diberikan lebih dari 12 bulan setelah akhir periode pelaporan" berarti manfaat tersebut baru akan diterima karyawan setelah satu tahun atau lebih dari tanggal laporan keuangan, meskipun hak atas manfaat tersebut sudah mulai diakumulasi pada periode berjalan.
 b. Tujuan Klasifikasi
Klasifikasi ini penting untuk membedakan:
- Imbalan jangka pendek (short-term employee benefits): Manfaat yang dibayarkan dalam waktu 12 bulan setelah akhir periode pelaporan (misal: gaji, cuti tahunan yang diambil dalam tahun berikutnya).
- OTLEB: Manfaat yang dibayarkan lebih dari 12 bulan setelah akhir periode pelaporan (misal: cuti besar, penghargaan masa kerja, bonus jangka panjang).
---
 2. Contoh Praktis
 a. Cuti Tahunan (Imbalan Jangka Pendek)
- Karyawan berhak atas cuti tahunan 12 hari pada tahun 2023, dan cuti ini harus diambil sebelum akhir 2024.
- Karena manfaat (cuti) diambil dalam waktu 12 bulan setelah akhir 2023, maka ini bukan OTLEB, melainkan imbalan jangka pendek.
 b. Cuti Besar atau Penghargaan Masa Kerja (OTLEB)
- Karyawan berhak atas cuti besar atau penghargaan emas setelah 20 tahun bekerja.
- Jika pada 31 Desember 2023 karyawan sudah bekerja 10 tahun, hak atas manfaat ini baru akan diterima setelah 10 tahun lagi (lebih dari 12 bulan dari akhir 2023).
- Maka, manfaat ini termasuk OTLEB.
---
 3. Referensi Standar Akuntansi
- PSAK 24 (IAS 19) Paragraf 8-9:  
  Menjelaskan bahwa OTLEB adalah manfaat selain imbalan pasca-kerja dan pesangon, yang jatuh tempo lebih dari 12 bulan setelah akhir periode pelaporan di mana jasa diberikan.
- IAS 19 Paragraf 8:  
  &gt; "Other long-term employee benefits are all employee benefits other than short-term employee benefits, post-employment benefits and termination benefits. ... Short-term employee benefits are expected to be settled wholly before twelve months after the end of the annual reporting period in which the employees render the related service."
---
 4. Saran Implementasi
- Identifikasi manfaat: Tinjau seluruh kebijakan perusahaan untuk menentukan apakah manfaat yang diberikan kepada karyawan akan dibayarkan lebih dari 12 bulan setelah akhir periode pelaporan.
- Klasifikasikan dengan benar: Manfaat yang memenuhi kriteria ini harus diklasifikasikan sebagai OTLEB dan dihitung secara aktuaria.
- Pengungkapan: Pastikan pengungkapan yang jelas dalam laporan keuangan mengenai jenis manfaat dan waktu pembayarannya.
---
 5. Kesimpulan
Maksud dari "Jangka waktu: Manfaat diberikan lebih dari 12 bulan setelah akhir periode pelaporan di mana jasa diberikan" adalah bahwa manfaat tersebut baru akan diterima karyawan satu tahun atau lebih setelah periode laporan keuangan berakhir, meskipun hak atas manfaat tersebut sudah mulai diakumulasi pada periode berjalan. Contoh: cuti besar, penghargaan masa kerja, atau bonus jangka panjang yang baru diterima setelah masa kerja tertentu.
---
Referensi:
- PSAK 24: Imbalan Kerja (Paragraf 8-9)
- IAS 19: Employee Benefits (Paragraf 8)
Jika membutuhkan bantuan untuk mengidentifikasi atau menghitung OTLEB di perusahaan Anda, silakan hubungi tim aktuaria atau akuntansi Anda.</t>
  </si>
  <si>
    <t>ketika seorang karyawan mencapai masa kerja tertentu, perusahaan memberikan apresiasi berupa sertifikat, apakah ini termasuk dalam OTLEB</t>
  </si>
  <si>
    <t>Tentu, berikut adalah jawaban komprehensif mengenai apakah apresiasi berupa sertifikat yang diberikan kepada karyawan saat mencapai masa kerja tertentu termasuk dalam OTLEB (Other Long-Term Employee Benefits), berdasarkan standar akuntansi dan praktik aktuaria yang berlaku, serta pengetahuan umum karena tidak ada dokumen spesifik yang relevan ditemukan.
---
 1. Penjelasan Teoritis
 a. Definisi OTLEB
Menurut PSAK 24 (IAS 19), OTLEB adalah manfaat kerja jangka panjang selain imbalan pasca-kerja (pensiun) dan pesangon, yang diberikan lebih dari 12 bulan setelah akhir periode pelaporan di mana jasa diberikan. Contohnya: cuti besar, penghargaan masa kerja (long service award), bonus jangka panjang, dsb.
 b. Karakteristik OTLEB
- Ada nilai ekonomi: Manfaat yang diberikan memiliki nilai ekonomi atau manfaat finansial bagi karyawan.
- Jangka waktu: Diberikan setelah masa kerja tertentu, biasanya lebih dari 12 bulan setelah jasa diberikan.
- Bukan imbalan jangka pendek, pensiun, atau pesangon.
---
 2. Apresiasi Berupa Sertifikat
 a. Sertifikat sebagai Bentuk Apresiasi
- Sertifikat biasanya diberikan sebagai bentuk penghargaan simbolis atas masa kerja atau pencapaian tertentu.
- Sertifikat tidak memiliki nilai ekonomi langsung (tidak dapat diuangkan, tidak dapat ditukar dengan barang/jasa, dan tidak menambah kekayaan karyawan).
 b. Klasifikasi Akuntansi
- Sertifikat penghargaan yang hanya bersifat simbolis TIDAK dikategorikan sebagai OTLEB.
- Alasannya: Tidak menimbulkan kewajiban keuangan atau ekonomi bagi perusahaan, dan tidak ada manfaat ekonomi yang diterima karyawan selain pengakuan non-finansial.
- OTLEB hanya mencakup manfaat yang memiliki nilai ekonomi, seperti uang, barang berharga (misal emas), cuti yang dapat diuangkan, dsb.
---
 3. Contoh Praktis
- Sertifikat masa kerja 10 tahun:  
  Karyawan menerima sertifikat sebagai bentuk apresiasi setelah 10 tahun bekerja. Karena tidak ada nilai ekonomi yang melekat, tidak perlu dihitung sebagai OTLEB.
- Penghargaan emas atau uang tunai:  
  Jika selain sertifikat, karyawan juga menerima emas atau uang tunai, maka hanya manfaat yang bernilai ekonomi (emas/uang) yang dikategorikan sebagai OTLEB dan harus dihitung secara aktuaria.
---
 4. Referensi Standar Akuntansi
- PSAK 24 (IAS 19) Paragraf 8-9:  
  Menjelaskan bahwa OTLEB adalah manfaat yang menimbulkan kewajiban ekonomi bagi perusahaan.
- IAS 19 Paragraf 155:  
  Memberikan contoh OTLEB sebagai manfaat yang memiliki nilai ekonomi, seperti penghargaan masa kerja berupa uang atau barang.
---
 5. Saran Implementasi
- Identifikasi manfaat: Pastikan perusahaan membedakan antara penghargaan simbolis (sertifikat) dan manfaat ekonomi (uang/barang).
- Dokumentasi: Jika hanya memberikan sertifikat, cukup dokumentasikan sebagai program apresiasi non-finansial, tidak perlu dihitung sebagai OTLEB.
- Pengungkapan: Jika auditor meminta klarifikasi, jelaskan bahwa sertifikat tidak menimbulkan kewajiban ekonomi sehingga tidak termasuk OTLEB.
---
 Kesimpulan
Apresiasi berupa sertifikat yang diberikan kepada karyawan saat mencapai masa kerja tertentu TIDAK termasuk dalam OTLEB (Other Long-Term Employee Benefits), karena tidak memiliki nilai ekonomi atau manfaat finansial bagi karyawan. Hanya manfaat yang bernilai ekonomi (uang, barang, cuti yang dapat diuangkan, dsb.) yang dikategorikan sebagai OTLEB dan wajib dihitung serta diakui dalam laporan keuangan sesuai PSAK 24/IAS 19.
---
Referensi:
- PSAK 24: Imbalan Kerja (Paragraf 8-9, 155-156)
- IAS 19: Employee Benefits (Paragraf 155)
Jika membutuhkan bantuan untuk mengidentifikasi manfaat yang harus diakui sebagai OTLEB, silakan konsultasikan dengan tim aktuaria atau akuntansi Anda.</t>
  </si>
  <si>
    <t>ketika seorang karyawan mencapai masa kerja tertentu, perusahaan memberikan apresiasi berupa tiket liburan, apakah ini termasuk dalam OTLEB</t>
  </si>
  <si>
    <t>Tentu, berikut adalah jawaban komprehensif mengenai apakah apresiasi berupa tiket liburan yang diberikan kepada karyawan saat mencapai masa kerja tertentu termasuk dalam OTLEB (Other Long-Term Employee Benefits), berdasarkan standar akuntansi, praktik aktuaria, dan pengetahuan umum yang relevan.
---
 1. Penjelasan Teoritis
 a. Definisi OTLEB
Menurut PSAK 24 (IAS 19), OTLEB adalah manfaat kerja jangka panjang selain imbalan pasca-kerja (pensiun) dan pesangon, yang diberikan lebih dari 12 bulan setelah akhir periode pelaporan di mana jasa diberikan. OTLEB mencakup manfaat yang memiliki nilai ekonomi, seperti:
- Cuti besar yang dapat diuangkan,
- Penghargaan masa kerja (long service award) berupa uang/barang,
- Bonus jangka panjang,
- Tunjangan cacat jangka panjang, dsb.
 b. Karakteristik OTLEB
- Jangka waktu: Manfaat diberikan setelah masa kerja tertentu, biasanya lebih dari 12 bulan setelah jasa diberikan.
- Nilai ekonomi: Manfaat tersebut memiliki nilai ekonomi atau manfaat finansial bagi karyawan.
- Bukan imbalan jangka pendek, pensiun, atau pesangon.
---
 2. Tiket Liburan sebagai Apresiasi Masa Kerja
 a. Konteks Praktis
- Tiket liburan (misal: tiket pesawat, paket wisata, voucher hotel) yang diberikan kepada karyawan setelah mencapai masa kerja tertentu (misal: 10 atau 20 tahun) adalah bentuk penghargaan masa kerja.
- Tiket liburan memiliki nilai ekonomi karena dapat dinikmati langsung oleh karyawan dan biasanya memiliki harga pasar yang jelas.
 b. Klasifikasi Akuntansi
- Tiket liburan yang diberikan sebagai penghargaan masa kerja termasuk dalam OTLEB jika:
  - Diberikan setelah masa kerja tertentu (bukan setiap tahun),
  - Tidak termasuk dalam imbalan jangka pendek,
  - Nilai manfaatnya signifikan dan dapat diukur secara andal.
- Perlakuan akuntansi: Kewajiban atas manfaat ini harus dihitung secara aktuaria, memperhitungkan kemungkinan karyawan memenuhi syarat, nilai manfaat (misal, harga tiket), dan didiskontokan ke nilai kini.
---
 3. Contoh Praktis
Misal, perusahaan memberikan paket liburan senilai Rp10 juta kepada karyawan yang mencapai masa kerja 20 tahun. Setiap tahun, perusahaan harus menghitung kewajiban atas penghargaan ini untuk seluruh karyawan yang berpotensi memenuhi syarat, menggunakan metode aktuaria sesuai PSAK 24.
---
 4. Referensi Standar Akuntansi
- PSAK 24 (IAS 19) Paragraf 8-9, 155-156:  
  Menjelaskan bahwa OTLEB adalah manfaat yang menimbulkan kewajiban ekonomi bagi perusahaan, termasuk penghargaan masa kerja yang bernilai ekonomi.
- IAS 19 Paragraf 155:  
  Memberikan contoh OTLEB sebagai penghargaan masa kerja berupa uang atau barang.
---
 5. Saran Implementasi
- Identifikasi seluruh program penghargaan masa kerja (termasuk tiket liburan) dalam kebijakan perusahaan.
- Lakukan perhitungan aktuaria secara periodik untuk menghitung kewajiban OTLEB atas tiket liburan.
- Ungkapkan dalam laporan keuangan sesuai PSAK 24, baik nilai kewajiban maupun asumsi yang digunakan.
---
 Kesimpulan
Tiket liburan yang diberikan sebagai penghargaan masa kerja (long service award) kepada karyawan saat mencapai masa kerja tertentu termasuk dalam kategori OTLEB (Other Long-Term Employee Benefits) menurut PSAK 24/IAS 19. Kewajiban atas manfaat ini harus dihitung secara aktuaria dan diakui dalam laporan keuangan perusahaan.
---
Referensi:
- PSAK 24: Imbalan Kerja (Paragraf 8-9, 155-156)
- IAS 19: Employee Benefits (Paragraf 155)
Jika membutuhkan contoh perhitungan atau template pengungkapan, silakan hubungi tim aktuaria Anda.</t>
  </si>
  <si>
    <t>ketika seorang karyawan mencapai masa kerja tertentu, perusahaan memberikan cuti besar beserta 1 kali gaji untuk karyawan yang menjalankannya, tetapi jika karyawan tersebut tidak mengambilnya cuti besar tersebut gugur dan karyawan tidak mendapatkan apa-apa. apakah ini termasuk dalam OTLEB</t>
  </si>
  <si>
    <t>Warna Font untuk formula tidak terlihat</t>
  </si>
  <si>
    <t>Pada DPLK atau aset program lainnya, umumnya terdapat dua jenis iuran yang dibayarkan yaitu iuran yang dibayarkan dari karyawan dan iuran yang dibayarkan oleh perusahaan</t>
  </si>
  <si>
    <t>- Iuran yang dibayarkan oleh karyawan/iuran porsi karyawan tidak dianggap sebagai aset yang dapat mengurangi kewajiban/liabilitas karyawan tersebut dimasa yang akan datang</t>
  </si>
  <si>
    <t>karena iuran tersebut berasal dari gaji sehingga langsung menjadi hak dari karyawan yang bersangkutan, sedangkan</t>
  </si>
  <si>
    <t>- Iuran yang dibayarkan oleh perusahaan/porsi perusahaan diakui sebagai aset yang dapat mengurangi kewajiban dimasa yang akan datang</t>
  </si>
  <si>
    <t>Iuran DPLK = Iuran Karyawan + Iuran Perusahaan</t>
  </si>
  <si>
    <t>Saldo DPLK = Saldo Porsi Karyawan + Saldo Porsi Perusahaan</t>
  </si>
  <si>
    <t>Bagian mana yang masuk dalam perhitungan?</t>
  </si>
  <si>
    <t>- Bagian yang merupakan porsi dari perusahaan, yaitu iuran perusahaan dan saldo akhir perusahaan.</t>
  </si>
  <si>
    <t>- Sehingga perlu menjadi perhatian, bahwa iuran yang diguanakan bukan iuran yang dibayarkan secara keseluruhan, melainnya hanya iuran yang dibayarkan oleh perusahaan</t>
  </si>
  <si>
    <t>- Begitupun saldo akhir yang diguanakan, bukan saldo akhir secara keseluruhan, melainkan hanya saldo akhir DPLK/aset program porsi perusahaan.</t>
  </si>
  <si>
    <t>Berkaitan dengan point diatas, Saldo akhir DPLK/aset program yang masuk dalam perhitungan imbalan pasca kerja hanyalah saldo akhir yang merupakan porsi perusahaan,</t>
  </si>
  <si>
    <t>saldo akhir porsi karyawan tidak dapat digunakan sebagai pengurang dari kewajiban.</t>
  </si>
  <si>
    <t>tidak semua benefit yang termasuk kedalam OTLEB harus diperhitungkan dalam perhitungan imbalan pasca kerja,</t>
  </si>
  <si>
    <t>OTLEB tidak harus diperhitungkan jika terdapat beberapa ketentuan sebagai berikut:</t>
  </si>
  <si>
    <t>- OTLEB akan gugur jika karyawan tidak menjalankan/mengambil OTLEB tersebut</t>
  </si>
  <si>
    <t>- OTLEB tidak dapat diuangkan</t>
  </si>
  <si>
    <t>Definisi OTLEB belum sesuai</t>
  </si>
  <si>
    <t>IBPA/IGSYC/PHEI adalah sama</t>
  </si>
  <si>
    <t>Jawaban me refer ke ketentuan minimal usia perhitungan manfaat pensiun, tidak sesuai dengan pertanyaan</t>
  </si>
  <si>
    <t>Tidak ada minimal usia dalam perhitungan imbalan pasca kerja, namun jika mengacu kepada peraturan yang berlaku:</t>
  </si>
  <si>
    <t xml:space="preserve">Ketentuan minimal usia kerja di Indonesia adalah 18 tahun, sesuai dengan Undang-Undang Ketenagakerjaan No. 13 Tahun 2003 Pasal 68, </t>
  </si>
  <si>
    <t xml:space="preserve">yang melarang pengusaha mempekerjakan anak. Namun, ada pengecualian, di mana anak usia 13-15 tahun diizinkan untuk melakukan </t>
  </si>
  <si>
    <t>pekerjaan ringan yang tidak membahayakan perkembangan dan kesehatan mereka, berdasarkan Pasal 69, 70, dan 71 undang-undang yang sama.</t>
  </si>
  <si>
    <t>- Mutasi karyawan</t>
  </si>
  <si>
    <t>- Perubahan manfaat</t>
  </si>
  <si>
    <t>- Perubahan usia pensiun</t>
  </si>
  <si>
    <t>- dll</t>
  </si>
  <si>
    <t>Berkaitan dengan point diatas</t>
  </si>
  <si>
    <t>Tambahkan menjadi tingkat diskonto awal, existing hanya disebutkan tingkat diskonto saja</t>
  </si>
  <si>
    <t>Tingkat diskonto yang digunakan dalam perhitungan biaya bunga apakah menggunakan tingkat diskonto awal atau tingkat diskonto akhir?</t>
  </si>
  <si>
    <t>Jawaban sudah sesuai, menggunakan tingkat diskonto awal, namun contoh masih membingungkan, mungkin dapat dibuat seperti ini</t>
  </si>
  <si>
    <t>Berikut adalah data dan hasil perhitungan untuk periode valuasi 31 Desember 2025:</t>
  </si>
  <si>
    <t>- PVDBO awal (31 Desember 2024): 100</t>
  </si>
  <si>
    <t>- PVBDO akhir (31 Desember 2025): 200</t>
  </si>
  <si>
    <t>- tingkat diskonto awal (31 Desember 2024): 5%</t>
  </si>
  <si>
    <t>- tingkat diskonto akhir (31 Desenber 2025): 7%</t>
  </si>
  <si>
    <t>maka biaya bunga untuk perhitungan 31 desember 2025 adalah: PVDBO awal x Tingkat diakonto awal = 100 x 5% = 5</t>
  </si>
  <si>
    <t>Tambahkan pada bagian rumusan, menjadi</t>
  </si>
  <si>
    <t>PVDBO Expected = PVDBO Awal + Biaya Bunga + CSC + Biaya Jasa Lalu - Realisasi Pembayaran (jika ada) + Perubahan Program Manfaat (jika ada) + Kurtailment/Penyelesaian (jika ada)</t>
  </si>
  <si>
    <t>actuarial gain loss atau keuntungan/kerugian aktuarial adalah nilai yang timbul karena adanya selisih antara nilai aktual yang didapat dari perhitungan sesuai dengan asumsi aktuaria, dan ekspektasi</t>
  </si>
  <si>
    <t>(Keuntungan)/Kerugian Aktuarial dapat dibedakan menjadi:</t>
  </si>
  <si>
    <t>- (Keuntungan)/Kerugian Aktuarial pada Kewajiban: selisih antara PVDBO actual dan ekspektasi</t>
  </si>
  <si>
    <t>- (Keuntungan)/Kerugian  Aktuarial pada Pembayaran Manfaat: selisih antara Pembayaran manfaat actual dan ekspektasi</t>
  </si>
  <si>
    <t>- (Keuntungan)/Kerugian Aktuarial pada Penyesuaian Aset Program: selisih antara Batas atas aset actual dan Ekspektasi</t>
  </si>
  <si>
    <t>- (Keuntungan)/Kerugian Aktuarial pada Nilai Wajar Aktiva Program: Selisih antara Aset Program actual dan ekspektasi</t>
  </si>
  <si>
    <t>Jawaban existing adalah jawaban untuk actuarial gain loss on obligation</t>
  </si>
  <si>
    <t>adalah keuntungan/kerugian yang timbul dari adanya selisih antara nilai kini kewajiban aktual dan ekspektasi</t>
  </si>
  <si>
    <t>- Perubahan asumsi keuangan</t>
  </si>
  <si>
    <t>- Perubahan asumsi demografi</t>
  </si>
  <si>
    <t>- pengalaman penyesuaian</t>
  </si>
  <si>
    <t>existing hanya disebutkan karena perubahan asumsi dan pengalaman penyesuaian, perubahan asumsi disini perlu di breakdown lagi menjadi perubahan asumsi karena asumsi keuangan dan demografi</t>
  </si>
  <si>
    <t>Penjelasan mutasi sudah oke, yang initinya adalah movement atau perpindahan (adanya karyawan masuk atau keluar)</t>
  </si>
  <si>
    <t>- Penjelasan BJS kurang tepat, seharusnya adalah biaya yang ditimbulkan karena adanya perubahan program manfaat, perubahan metode perhitungan, serta mutasi karyawan.</t>
  </si>
  <si>
    <t>- mutasi karyawan yang diakui dalam BJS mencakup mutasi karyawan masuk, dan kelebihan dari realisasi untuk karyawan keluar jika dibandingkan dengan saldo cadangan yang ada.</t>
  </si>
  <si>
    <t>Intinya:</t>
  </si>
  <si>
    <t>mutasi karaywan dibagi menjadi karyawan masuk dan keluar.</t>
  </si>
  <si>
    <t>- untuk karyawan masuk, dampak dari mutasinya akan dicatat/diakui pada BJS jika ada, sebesar PVDBO - CSC</t>
  </si>
  <si>
    <t>- untuk karyawan keluar:</t>
  </si>
  <si>
    <t>a. jika reliasasi &gt; cadangan yang ada, maka kelebihannya akan dicatat/diakui pada BJS</t>
  </si>
  <si>
    <t>b. jika realisasi &lt; cadangan yang ada, maka kelebihannya akan dicatat/diakui pada OCI (tepatnya pada pengalaman penyesuaian)</t>
  </si>
  <si>
    <t>contoh case karyawan masuk:</t>
  </si>
  <si>
    <t>untuk periode valuasi 31 des 2024 (1 Jan 2024 - 31 Des 2024), terdapat 2 mutasi karyawan masuk sbb:</t>
  </si>
  <si>
    <t>- karyawan A masuk pada 1 Jan 2024</t>
  </si>
  <si>
    <t>- karyawan B masuk pada 30 Des 2024</t>
  </si>
  <si>
    <t>maka:</t>
  </si>
  <si>
    <t>- karyawan A tidak memiliki dampak yang harus diakui pada BJS karena karyawan tsb masuk pada rentang periode valuasi. (PVDBO = CSC)</t>
  </si>
  <si>
    <t>- karyawan B memiliki dampak yang akan diakui pada BJS karena karyawan tsb masuk tidak pada rentang periode valuasi. (PVDBO &gt; CSC)</t>
  </si>
  <si>
    <t>contoh case karyawan keluar:</t>
  </si>
  <si>
    <t>untuk periode valuasi 31 des 2024 (1 Jan 2024 - 31 Des 2024), terdapat 3 mutasi karyawan keluar sbb:</t>
  </si>
  <si>
    <t>- karyawan A memiliki nilai cadangan sebesar 100, dengan nilai realisasi ketika dia keluar sebesar 100</t>
  </si>
  <si>
    <t>- karyawan B memiliki nilai cadangan sebesar 100, dengan nilai realisasi ketika dia keluar sebesar 70</t>
  </si>
  <si>
    <t>- karyawan C memiliki nilai cadangan sebesar 100, dengan nilai realisasi ketika dia keluar sebesar 110</t>
  </si>
  <si>
    <t>- karyawan A, tidak memiliki dampak baik pada BJS maupun OCI karena nilai cadangan = realisasi</t>
  </si>
  <si>
    <t>- karyawan B memiliki dampak yang diakui pada OCi karena nilai realisasi &lt; cadangan, sebesar 70-100 = -30</t>
  </si>
  <si>
    <t>- karyawan C memiliki dampak yang diakui pada BJS karena nilai realisasi &gt; cadangan, sebesar 110-100 = 10</t>
  </si>
  <si>
    <t>Pada jawaban existing CBS = DPLK = Program pendanaan.</t>
  </si>
  <si>
    <t>CBS termasuk dalam OTLEB, bukan DPLK</t>
  </si>
  <si>
    <t>Apakah dapat berubah ditengah masa kerja karyawan? bagaimana dampaknya?</t>
  </si>
  <si>
    <t xml:space="preserve">Bisa saja, namun perubahan ini tetap dilakukan sesuai dengan peraturan ketenagakerjaan yang berlaku dan harus disosialisasikan kepada karyawan. </t>
  </si>
  <si>
    <t>Setiap perubahan dalam kebijakan terkait dapat mempengaruhi perhitungan kewajiban imbalan kerja dan perlu diperhitungkan dalam laporan keuangan sesuai dengan ketentuan yang berlaku.</t>
  </si>
  <si>
    <t>Perubahan pada CBS/OTLEB akan diakui sebagai BJS yang akan langsung diakui pada laba rugi tahun berjalan</t>
  </si>
  <si>
    <t>Sedangkan perubahan pada DPLK, jika perubahan tsb hanya perubahan dari segi lembaga penyimpannya (berpindah saja) dengan skema yang sama, hal ini tidak berdampak pada perhitungan</t>
  </si>
  <si>
    <t>namun jika perubahan adalah pada sisi skema, misalkan dari iuran pasti menjadi manfaat pasti atau sebaliknya, hal ini dapat berdampak pada penyajian laporan IPK.</t>
  </si>
  <si>
    <t>Berikut adalah beberapa faktor yang dapat menyebabkan kenaikan nilai pada kewajiban:</t>
  </si>
  <si>
    <t>1. Bertambahnya usia setiap karyawan</t>
  </si>
  <si>
    <t>2. Bertambahkan masa kerja setiap karyawan</t>
  </si>
  <si>
    <t>3. Penurunan asumsi usia pensiun normal</t>
  </si>
  <si>
    <t>4. Perbedaan pengakuan usia pada tanggal valuasi (sebagai contoh, penggunaan usia tepat dibandingkan dengan pembulatan usia). (jika berpindah KKA)</t>
  </si>
  <si>
    <t>5. Penurunan tingkat diskonto.</t>
  </si>
  <si>
    <t>6. Kenaikan gaji aktual yang lebih besar daripada asumsi.</t>
  </si>
  <si>
    <t>7. Penambahan komponen pajak dalam perhitungan.</t>
  </si>
  <si>
    <t>8. Perubahan manfaat IPK yang digunakan (penambahan manfaat).</t>
  </si>
  <si>
    <t>pernyataan ini</t>
  </si>
  <si>
    <t>"Bunga atas Kewajiban (Interest Cost)" dapat diganti dengan bertambahnya usia karyawan, sehingga karyawan tsb lebih dekat dengan usia pensiun normalnya.</t>
  </si>
  <si>
    <t>semakin dekat dengan usia pensiun, liabilitas karyawan akan semakin besar.</t>
  </si>
  <si>
    <t>Keuntungan terkait perhitungan kewajiban tidak ada,</t>
  </si>
  <si>
    <t xml:space="preserve">Menghitung CBS dapat meningkatkan kewajiban imbalan jangka panjang lainnya, tetapi juga dapat membantu dalam retensi karyawan. </t>
  </si>
  <si>
    <t xml:space="preserve">Selain itu, mendaftarkan karyawan ke DPLK dapat mengurangi kewajiban perusahaan karena sebagian dari beban pensiun ditanggung oleh pihak ketiga, yang bisa mengurangi beban finansial perusahaan dalam jangka panjang. </t>
  </si>
  <si>
    <t>Pengertian CBS masih belum tepat</t>
  </si>
  <si>
    <t>CBS adalah Cuti Besar, merupakan bagian dari OTLEB</t>
  </si>
  <si>
    <t>DPLK adalah aset program</t>
  </si>
  <si>
    <t>Pembayaran tersebut tetap diakui dalam perhitungan tahun berjalan. Namun, karena karyawan tersebut tidak termasuk dalam perhitungan IPK sebelumnya, maka nominalnya langsung diakui sebagai biaya jasa lalu.</t>
  </si>
  <si>
    <t>pernyataan existing kurang tepat</t>
  </si>
  <si>
    <t>Pembayaran tersebut tetap diakui dalam perhitungan tahun berjalan. Namun, karena karyawan tersebut tidak termasuk dalam perhitungan IPK sebelumnya, maka nominalnya selain diakui sebagai realisasi pembayaran, diakui juga sebagai sebagai biaya jasa lalu.</t>
  </si>
  <si>
    <t>Dampak terhadap Perhitungan dan Laporan Keuangan</t>
  </si>
  <si>
    <t>a. Dampak pada Kewajiban IPK</t>
  </si>
  <si>
    <t>Kewajiban IPK yang dilaporkan menjadi understated (kurang dari seharusnya) karena tidak memasukkan karyawan tersebut.</t>
  </si>
  <si>
    <t>Realisasi pembayaran kepada karyawan yang tidak masuk valuasi akan menambah beban biaya pada periode pembayaran.</t>
  </si>
  <si>
    <t>b. Dampak pada Laporan Keuangan</t>
  </si>
  <si>
    <t>Pembayaran manfaat kepada karyawan yang tidak masuk valuasi harus diakui juga sebagai biaya imbalan kerja pada periode terjadinya pembayaran.</t>
  </si>
  <si>
    <t>Hal ini dapat menyebabkan perbedaan (reconciling item) antara saldo kewajiban IPK yang dihitung aktuaria dan realisasi pembayaran aktual.</t>
  </si>
  <si>
    <t>3. Penanganan Praktis dan Teoritis</t>
  </si>
  <si>
    <t>a. Praktik Akuntansi (PSAK 24/IAS 19)</t>
  </si>
  <si>
    <t>Pembayaran manfaat kepada karyawan yang tidak masuk valuasi diakui sebagai biaya imbalan kerja pada saat pembayaran (immediate recognition).</t>
  </si>
  <si>
    <t>Jika jumlahnya material, perusahaan dapat melakukan penyesuaian (adjustment) pada saldo kewajiban IPK dan mengungkapkan dalam catatan atas laporan keuangan.</t>
  </si>
  <si>
    <t>b. Praktik Aktuaria</t>
  </si>
  <si>
    <t>Pada valuasi berikutnya, data karyawan harus diperbaiki agar kasus serupa tidak terulang.</t>
  </si>
  <si>
    <t>Aktuaria dapat melakukan rekonsiliasi antara pembayaran aktual dan kewajiban yang diakui, serta memberikan penjelasan atas selisih yang terjadi.</t>
  </si>
  <si>
    <t>c. Contoh Praktis</t>
  </si>
  <si>
    <t>Misal:</t>
  </si>
  <si>
    <t>Tahun lalu, karyawan A tidak masuk dalam data valuasi IPK.</t>
  </si>
  <si>
    <t>Tahun ini, karyawan A pensiun dan menerima pembayaran manfaat Rp100 juta.</t>
  </si>
  <si>
    <t>Pembayaran Rp100 juta ini tidak tercermin dalam saldo kewajiban IPK tahun lalu, sehingga:</t>
  </si>
  <si>
    <t>- Realisasi Pembayaran: -100 juta</t>
  </si>
  <si>
    <t>- Biaya Jasa Lalu: +100 juta</t>
  </si>
  <si>
    <t>dibagian factor, actuarial gain seharusnya tidak masuk</t>
  </si>
  <si>
    <t>Apabila basis perhitungan dengan diketahui data:</t>
  </si>
  <si>
    <t>Rata-rata kenaikan gaji:</t>
  </si>
  <si>
    <t>1. Karyawan Tetap:</t>
  </si>
  <si>
    <t>2023: Rp 9.304.058</t>
  </si>
  <si>
    <t>2024: Rp 10.096.908 (kenaikan sekitar 8,52%)</t>
  </si>
  <si>
    <t>2. Karyawan Kontrak:</t>
  </si>
  <si>
    <t>2023: Rp 5.236.600</t>
  </si>
  <si>
    <t>2024: Rp 5.297.424 (kenaikan sekitar 1,16%)</t>
  </si>
  <si>
    <t>Untuk karyawan tetap tahun 2023 ke 2024 mengalami penurunan 1 orang tetapi perhitungannya mengalami kenaikan.</t>
  </si>
  <si>
    <t>Untuk karyawan kontrak dengan asumsi kenaikan sekitar 1,16% dibanding dengan tahun 2023 dengan asumsi kenaikan 3% tetapi hasil alokasi biayanya meningkat cukup signifikan ke 1,64 Miliar.</t>
  </si>
  <si>
    <t>Bagaimana penjelasannya?</t>
  </si>
  <si>
    <t>Pada jawaban existing, disebutkan usia pensiun naik, kewajiban naik, ini kurang tepat, seharusnya jika usia pensiun naik, kewajiban turun</t>
  </si>
  <si>
    <t>UPH seharusnya Uang Penggantian Hak bukan Imbalan Pasca kerja</t>
  </si>
  <si>
    <t>Karyawan tetap:</t>
  </si>
  <si>
    <t>kewajiban naik karena rata2 gaji 8%an diatas yang diasumsikan, ini membuat kewajiban naik meskipun jumlah karyawan menurun</t>
  </si>
  <si>
    <t>Meskipun jumlah karyawan tetap berkurang 1 orang, nilai rata-rata kenaikan gaji meningkat sekitar 8,52%, dari Rp9,3 juta ke Rp10 juta. Hal ini menyebabkan total beban imbalan kerja tetap meningkat, walaupun headcount turun. Dalam perhitungan aktuaria, kenaikan gaji memiliki pengaruh besar, terutama karena:</t>
  </si>
  <si>
    <t>• Proyeksi kewajiban dihitung berdasarkan gaji masa depan.</t>
  </si>
  <si>
    <t>• Kenaikan 8,52% cukup tinggi dan akan berdampak pada nilai kini (present value) kewajiban.</t>
  </si>
  <si>
    <t>Karyawan kontrak:</t>
  </si>
  <si>
    <t>Asumsi kenaikan gaji tidak berpengaruh untuk perhitungan kontrak, sehingga walaupun aktual kenaikan rata2 gaji dibawah yang diasumsikan, maka hal tsb tidak berpengaruh terhadap kenaikan kewajiban</t>
  </si>
  <si>
    <t>karena metode perhitungan karyawan kontrak berbeda dengan karyawan tetap, perhitungan karyawan konrak mengacu kepada peraturan pemerintah yang berlaku yaitu prorate sesuai dengan masa kerjanya</t>
  </si>
  <si>
    <t>Kemungkinan penyebabnya:</t>
  </si>
  <si>
    <t>• Ada penambahan jumlah karyawan kontrak yang signifikan.</t>
  </si>
  <si>
    <t>• Masa kerja atau usia karyawan kontrak bertambah → meningkatkan nilai manfaat.</t>
  </si>
  <si>
    <t>Rekomendasi: Perlu dilakukan pengecekan ulang terhadap data penghasilan tahun 2023 – apakah saat itu sudah mencakup seluruh komponen tetap yang relevan dengan manfaat pasca kerja. Bila hanya gaji pokok yang digunakan, maka perlu dilakukan rekonsiliasi dan normalisasi data untuk memastikan konsistensi tahun ke tahun.</t>
  </si>
  <si>
    <t>Jika benar tahun 2023 hanya memakai gaji pokok sebagai basis valuasi, maka perhitungan manfaat tahun tersebut understated (terlalu rendah). Saat data 2024 diperbaiki dengan total gaji, wajar jika manfaat melonjak.</t>
  </si>
  <si>
    <t xml:space="preserve">Jawaban existing lebih ke bagaimana treatment pada laporan IPK jika terdapat karyawan PHK </t>
  </si>
  <si>
    <t xml:space="preserve">Kami dapat membantu membuat perhitungan untuk karyawan yang di-PHK sesuai dengan Peraturan Perusahaan dan UU yang berlaku. </t>
  </si>
  <si>
    <t>Namun, untuk kebutuhan PSAK 24, adapun sebab PHK yang masuk dalam cadangan perusahaan di antaranya sebagai berikut:</t>
  </si>
  <si>
    <t>• Pensiun</t>
  </si>
  <si>
    <t>• Meninggal Dunia</t>
  </si>
  <si>
    <t>• Sakit berkepanjangan</t>
  </si>
  <si>
    <t>• Resign</t>
  </si>
  <si>
    <t>Berikut adalah jawaban komprehensif mengenai **apakah manfaat yang diberikan kepada karyawan selama sakit dan sakit berkepanjangan (misal: upah selama sakit) masuk ke dalam perhitungan PSAK 24/219**, berdasarkan dokumen yang relevan dan praktik aktuaria di Indonesia:</t>
  </si>
  <si>
    <t>---</t>
  </si>
  <si>
    <t>## 1. **Penjelasan Terstruktur**</t>
  </si>
  <si>
    <t>### A. **Definisi dan Ruang Lingkup PSAK 24/219**</t>
  </si>
  <si>
    <t>- **PSAK 24/219** mengatur pengakuan, pengukuran, dan pengungkapan imbalan kerja, termasuk imbalan pasca kerja (post-employment benefits) dan imbalan jangka panjang lainnya (Other Long-Term Employee Benefits/OLTEB) ([DOKUMEN 1], [DOKUMEN 19], [DOKUMEN 20]).</t>
  </si>
  <si>
    <t>- **Imbalan pasca kerja**: Manfaat yang diberikan setelah masa kerja berakhir, seperti pesangon, pensiun, penghargaan masa kerja ([DOKUMEN 1], [DOKUMEN 19]).</t>
  </si>
  <si>
    <t>- **Imbalan jangka panjang lainnya (OLTEB)**: Manfaat yang dibayarkan lebih dari 12 bulan setelah periode kerja berakhir, misal cuti besar, jaminan kesehatan pasca pensiun ([DOKUMEN 6]).</t>
  </si>
  <si>
    <t>### B. **Manfaat Selama Sakit dan Sakit Berkepanjangan**</t>
  </si>
  <si>
    <t>- **Upah selama sakit** (misal: gaji tetap dibayar saat karyawan sakit dalam jangka pendek) **umumnya tidak masuk ke dalam perhitungan PSAK 24/219** jika:</t>
  </si>
  <si>
    <t>- Manfaat tersebut diberikan selama karyawan masih aktif bekerja dan sakitnya bersifat jangka pendek (cuti sakit biasa).</t>
  </si>
  <si>
    <t>- Manfaat dibayarkan dalam waktu ≤12 bulan sejak akhir periode pelaporan ([DOKUMEN 6], [DOKUMEN 20]).</t>
  </si>
  <si>
    <t>- **Alasannya:** Manfaat ini dikategorikan sebagai **imbalan kerja jangka pendek** (short-term employee benefits), yang diakui langsung sebagai beban pada periode terjadinya, bukan dicadangkan secara aktuaria ([DOKUMEN 10], [DOKUMEN 20]).</t>
  </si>
  <si>
    <t>SAMPAI POINT INI JAWABAN OK</t>
  </si>
  <si>
    <t>Manfaat sakit berkepanjangan, diberikan ketika perusahaan melakukan pemutusan hubungan kerja kepada karyawan karena alasan sakit berkepanjangan (&gt; 12 bulan)</t>
  </si>
  <si>
    <t>manfaat ini masuk dalam perhitungan, karena termasuk dari salah satu komponen yang dihitung dalam perhitungan IPK</t>
  </si>
  <si>
    <t>## 2. **Contoh Praktis**</t>
  </si>
  <si>
    <t>### **Contoh 1: Cuti Sakit Biasa**</t>
  </si>
  <si>
    <t>- Perusahaan membayar gaji penuh selama karyawan sakit ≤14 hari.</t>
  </si>
  <si>
    <t>- **Perlakuan:** Tidak dicadangkan dalam PSAK 24/219, diakui sebagai beban periode berjalan.</t>
  </si>
  <si>
    <t>### **Contoh 2: Sakit Berkepanjangan**</t>
  </si>
  <si>
    <t>- Perusahaan melakukan PHK kepada karyawan yang sakit lebih dari 12 bulan.</t>
  </si>
  <si>
    <t>- **Perlakuan:** Manfaat ini masuk dalam perhitungan IPK, dan di catat dalam realisasi pembayaran pada periode valuasi berjalan.</t>
  </si>
  <si>
    <t>*Manfaat sakit berkepanjangan hanya diberikan ketika perusahaan sudah memutus kontrak</t>
  </si>
  <si>
    <t>Interest cost tidak ada hubungannya dengan CSC</t>
  </si>
  <si>
    <t>Interest cost dipengaruhi oleh 2 komponen yaitu:</t>
  </si>
  <si>
    <t>- Nilai kini kewajiban awal periode</t>
  </si>
  <si>
    <t>- Tingkat diskonto awal</t>
  </si>
  <si>
    <t>Nilai interest cost akan naik jika:</t>
  </si>
  <si>
    <t>- nilai kini kewajiban awal periode lebih besar dari niali kini kewajiban awal periode sebelumnya</t>
  </si>
  <si>
    <t>- tingkat diskonto awal periode lebih besar dari tingkat diskonto awal periode sebelumnya</t>
  </si>
  <si>
    <t>Nilai interest cost akan turun jika:</t>
  </si>
  <si>
    <t>- nilai kini kewajiban awal periode lebih kecil dari niali kini kewajiban awal periode sebelumnya</t>
  </si>
  <si>
    <t>- tingkat diskonto awal periode lebih kecil dari tingkat diskonto awal periode sebelumnya</t>
  </si>
  <si>
    <t>Ada karyawan yang di bawah 31 tahun masuk ke dalam perhitungan employment benefit.</t>
  </si>
  <si>
    <t>Setau saya berdasarkan IFRIC update 2022, persyaratan umur karyawan tetap yang boleh diakui adalah di atas 31 tahun atau maksimal sisa masa kerja 24 tahun.</t>
  </si>
  <si>
    <t>Umur pensiun di perusahaan saya 55 tahun, berarti yang masuk PEB (Provisional of Employment Benefit) seharusnya 31 tahun?</t>
  </si>
  <si>
    <t>PEB = IPK</t>
  </si>
  <si>
    <t>PEB = Post Employee Benefit (banyak KKA menggunakan istilah PEB)</t>
  </si>
  <si>
    <t>IFRIC mengatur untuk atribusi manfaat pensiun normal terkait imbalan pasca kerja. Betul, seperti yang disampaikan, persyaratan umur karyawan tetap yang boleh diakui adalah di atas 31 tahun atau maksimal sisa masa kerja 24 tahun untuk usia pensiun 55 tahun.</t>
  </si>
  <si>
    <t>Berikut ketentuan manfaat berdasarkan usia karyawan, dengan asumsi UPN = 55 tahun</t>
  </si>
  <si>
    <t>• Di atas 31 tahun : mencakup manfaat pensiun normal, meninggal dunia, sakit berkepanjangan, dan mengundurkan diri.</t>
  </si>
  <si>
    <t>• Di bawah 31 tahun : hanya untuk manfaat meninggal dunia, sakit berkepanjangan, dan mengundurkan diri.</t>
  </si>
  <si>
    <t xml:space="preserve">*note: pada jawaban exsiting untuk dibawah 31 tahun: hanya untuk manfaat meninggal dunia dan sakit berkepanjangan, </t>
  </si>
  <si>
    <t>seharusnya untuk manfaat menginggal dunia, sakit berkepanjangan, dan mengundurkan diri.</t>
  </si>
  <si>
    <t>nilai perhitungan -&gt; merujuk pada nilai kewajiban/liabilitas/pvdbo</t>
  </si>
  <si>
    <t>*pada existing perbandingan tidak apple to apple</t>
  </si>
  <si>
    <t>nilai pada perhitungan karyawan tetap tidak selalu lebih besar dari perhitungan karyawan kontrak, bergantung pada kondisi masing2</t>
  </si>
  <si>
    <t>1. konidisi 1: usia karyawan dibawah usia atribusi manfaat pensiun/ifric (co:/ upn = 58, usia karyawan &lt; 34)</t>
  </si>
  <si>
    <t>pada kondisi ini, umumnya nilai perhitungan karyawan tetap &lt; nilai perhitungan karyawan kontrak</t>
  </si>
  <si>
    <t>karena pada perhitungan karyawan tetap hanya memperhitungkan nilai untuk manfaat meninggal diri, cacat/sakit berkepanjangan, dan mengundurkan diri</t>
  </si>
  <si>
    <t>2. konidisi 2: usia karyawan diatas usia atribusi manfaat pensiun/ifric (co:/ upn = 58, usia karyawan &gt;= 34)</t>
  </si>
  <si>
    <t>pada kondisi ini, umumnya nilai perhitungan karyawan tetap &gt; nilai perhitungan karyawan kontrak</t>
  </si>
  <si>
    <t>karena pada perhitungan karyawan tetap sudah memperhitungkan nilai untuk manfaat pensiun, meninggal diri, cacat/sakit berkepanjangan, dan mengundurkan diri</t>
  </si>
  <si>
    <t>Rumusan UPH UUK masih belum sesuai, seharusnya:</t>
  </si>
  <si>
    <t>Uang penggantian hak yang seharusnya diterima sebagaimana dimaksud dalam ayat (1) meliputi:</t>
  </si>
  <si>
    <t>1. cuti tahunan yang belum diambil dan belum gugur;</t>
  </si>
  <si>
    <t>2. biaya atau ongkos pulang untuk pekerja/buruh dan keluarganya ke tempat di mana pekerja/buruh diterima bekerja;</t>
  </si>
  <si>
    <t>3. penggantian perumahan serta pengobatan dan perawatan ditetapkan 15% (lima belas perseratus) dari uang pesangon dan/atau uang penghargaan masa kerja bagi yang memenuhi syarat;</t>
  </si>
  <si>
    <t>4. hal-hal lain yang ditetapkan dalam perjanjian kerja, peraturan perusahaan atau perjanjian kerja bersama.</t>
  </si>
  <si>
    <t>Pensiun normal</t>
  </si>
  <si>
    <t>1.15*(2S+1G)+UPH</t>
  </si>
  <si>
    <t>(1.75S+1G)+UPH</t>
  </si>
  <si>
    <t>meninggal dunia</t>
  </si>
  <si>
    <t>(2S+1G)+UPH</t>
  </si>
  <si>
    <t>cacat/sakit berkepanjangan</t>
  </si>
  <si>
    <t>1.15*(2S+2G)+UPH</t>
  </si>
  <si>
    <t>mengundurkan diri</t>
  </si>
  <si>
    <t>0.15*(1S+1G)+UPH</t>
  </si>
  <si>
    <t>ket: S = Severance, G = Gratitude</t>
  </si>
  <si>
    <t>1. Data</t>
  </si>
  <si>
    <t>- Masa kerja</t>
  </si>
  <si>
    <t>- Usia</t>
  </si>
  <si>
    <t>- Gaji</t>
  </si>
  <si>
    <t>2. Manfaat dan asumsi</t>
  </si>
  <si>
    <t>- Dasar hukum (UUCK/UUK)</t>
  </si>
  <si>
    <t>- Asumsi (tingkat kenaikan gaji, diskonto, disability, withdrawal, mortality, dsb)</t>
  </si>
  <si>
    <t>- Usia pensiun</t>
  </si>
  <si>
    <t>pengertian ok, contoh batas atas aset:</t>
  </si>
  <si>
    <t>1. case 1: kewajiban &gt; aset</t>
  </si>
  <si>
    <t>- kewajiban: 10</t>
  </si>
  <si>
    <t>- aset: 8</t>
  </si>
  <si>
    <t>- batas atas aset: 0</t>
  </si>
  <si>
    <t>2. case 2: kewajiban &lt; aset</t>
  </si>
  <si>
    <t>- aset: 12</t>
  </si>
  <si>
    <t>- batas atas aset: 2</t>
  </si>
  <si>
    <t>tambahkan konteks roi dalam perhitungan IPK/PEB:</t>
  </si>
  <si>
    <t>roi dalam konteks IPK, adalah asumsi return dari aset program yang digunakan untuk menghitung estimasi pendapatan dari aset program di masa depan, roi dapat diambil dari history rata2 roi perusahaan selama beberapa tahun terakhir</t>
  </si>
  <si>
    <t>tambahkan dirumus:</t>
  </si>
  <si>
    <t>Beban IPK = CSC + Biaya Bunga - Imbal hasil aset program + Biaya bunga atas batas atas aset + BJS + efek kurtailmen/penyelesaian</t>
  </si>
  <si>
    <t>CBS dalam konteks IPK adalah Cuti Besar, termasuk dalam kategori OTLEB</t>
  </si>
  <si>
    <t>Cuti besar adalah hak cuti khusus bagi karyawan yang telah memiliki masa kerja panjang (umumnya minimal 6 tahun terus-menerus) pada satu perusahaan, dengan tujuan untuk memberikan waktu istirahat yang lebih lama dibanding cuti tahunan biasa.</t>
  </si>
  <si>
    <t>Apakah CBS wajib dihitung dalam PSAK 24?</t>
  </si>
  <si>
    <t>- sesuai PSAK 24, CBS yang wajib dihitung adalah CBS yang bisa diuangkan dan CBS yang tidak gugur jika karyawan tidak melaksanakannya</t>
  </si>
  <si>
    <t>Interpolasi adalah metode untuk memperkirakan nilai di antara dua data yang sudah diketahui.</t>
  </si>
  <si>
    <t>Dengan kata lain, interpolasi digunakan untuk mencari nilai “tengah” di antara dua titik data yang sudah ada — bukan menebak di luar rentang, melainkan di dalam rentang data.</t>
  </si>
  <si>
    <t>dalam konteks IPK, interpolasi digunakan dalam menghitung estimasi manfaat yang akan diterima karyawan</t>
  </si>
  <si>
    <t>co:</t>
  </si>
  <si>
    <t>usia saat valuasi: 50.3 tahun</t>
  </si>
  <si>
    <t>usia1, usia 2 adalah usia atas dan bawah dari usia saat valuasi, dalam konteks ini 50 dan 51</t>
  </si>
  <si>
    <t>dengan menggunakan interpolasi, akan dicari nilai estimasi manfaat untuk usia karyawan 50.3 tahun menggunakan usia karyawan 50 tahun dan 51 tahun</t>
  </si>
  <si>
    <t>misalkan: estimasi manfaat u/ usia karyawan 50 adalah 100 dan u/ usia karyawan 51 adalah 110</t>
  </si>
  <si>
    <t>estimasi manfaat = (usia valuasi - usia1)*manfaat1 + (usia2 - usia valuasi)*manfaat2</t>
  </si>
  <si>
    <t>revisi penggunakan interpolasi dalam IPK</t>
  </si>
  <si>
    <t>contoh sudah oke</t>
  </si>
  <si>
    <t>karena kontrak adalah kontrak jangka pendek &lt;1 tahun, maka asumsi mortality, disability, dan withdrawal tidak digunakan dengan asumsi karyawan akan menyelesaikan masa kontraknya</t>
  </si>
  <si>
    <t>sehingga untuk perhitungan karyawan kontrak, cukup hanya menggunakan asumsi tingkat diskonto</t>
  </si>
  <si>
    <t>Contoh perhitungan masih belum sesuai karena tidak dikalikan dengan faktor pengali</t>
  </si>
  <si>
    <t>seharusnya:</t>
  </si>
  <si>
    <t>Pensiun = 1.75*S+1*G+UPH</t>
  </si>
  <si>
    <t>untuk contoh di jawaban diketahui S=9, G=6, UPH = 5jt</t>
  </si>
  <si>
    <t>dengan gaji 10jt, maka</t>
  </si>
  <si>
    <t>Pensiun: 1.75(9)*(10jt)+5*(10jt)+5jt: 157.5jt+50jt+5jt: 212.5jt</t>
  </si>
  <si>
    <t>tambahan 2 kali uang pesangon? seharusnya tidak ada, mungkin yg dimaksud faktor pengali pesangon adalah 2</t>
  </si>
  <si>
    <t>meninggal dunia = 2*S+1*G+UPH</t>
  </si>
  <si>
    <t>untuk contoh di jawaban diketahui S=9, G=4, UPH = 4jt</t>
  </si>
  <si>
    <t>dengan gaji 8jt, maka</t>
  </si>
  <si>
    <t>Meninggal dunia: 2(9)*(8jt)+4*(8jt)+4jt: 144jt+32jt+4jt: 180jt</t>
  </si>
  <si>
    <t>cacat/sakit berkepanjangan = 2*S+1*G+UPH</t>
  </si>
  <si>
    <t>untuk contoh di jawaban diketahui S=9, G=5, UPH = 3jt</t>
  </si>
  <si>
    <t>dengan gaji 7jt, maka</t>
  </si>
  <si>
    <t>cacat/sakit berkepanjangan: 2(9)*(7jt)+5*(7jt)+3jt: 126jt+35jt+3jt: 164jt</t>
  </si>
  <si>
    <t>untuk karyawan mengundurkan diri sesuai UUCK, hanya mendapat UPH (jika ada)</t>
  </si>
  <si>
    <t>mengundurkan diri = UPH</t>
  </si>
  <si>
    <t>untuk contoh di jawaban diketahui UPH = 2.5jt</t>
  </si>
  <si>
    <t>dengan gaji 6jt, maka</t>
  </si>
  <si>
    <t>mengundurkan diri = 2.5jt</t>
  </si>
  <si>
    <t>untuk karyawan mengundurkan diri sesuai UUK, perhitungan manfaatnya adalah: 0.15*(S+G)+UPH</t>
  </si>
  <si>
    <t>Pensiun = 1.15(2*S+1*G)+UPH</t>
  </si>
  <si>
    <t>untuk contoh di jawaban diketahui S=9, G=8, UPH = 3.5jt</t>
  </si>
  <si>
    <t>Pensiun: (1.15)*(2)*(9)*(8jt)+(1.15)*(8)*(8jt)+3.5jt: 156.6jt+73.6jt+3.5jt: 233.7jt</t>
  </si>
  <si>
    <t>meninggal dunia = 1.15*(2*S+1*G)+UPH+Uang Duka</t>
  </si>
  <si>
    <t>untuk contoh di jawaban diketahui S=9, G=4, UPH = 2.5jt, Uang duka = 2*Gaji+10jt</t>
  </si>
  <si>
    <t>Meninggal dunia: (1.15)*(2)*(7)*(7jt)+(1.15)*(4)*(7jt)+2.5jt+(2)*(7jt)+20jt: 112.7jt+32.2jt+26.5jt: 171.4jt</t>
  </si>
  <si>
    <t>cacat/sakit berkepanjangan = 1.15*(2*S+2*G)+UPH</t>
  </si>
  <si>
    <t>untuk contoh di jawaban diketahui S=9, G=4, UPH = 2jt</t>
  </si>
  <si>
    <t>cacat/sakit berkepanjangan: (1.15)*(2)*(9)*(6jt)+(1.15)*(2)*(4)*(6jt)+2jt: 124.2jt+55.2jt+2jt: 181.4jt</t>
  </si>
  <si>
    <t>Langkah2:</t>
  </si>
  <si>
    <t>1. Proyeksi Gaji terakhir (OK)</t>
  </si>
  <si>
    <t>2. Hitung manfaat pensiun</t>
  </si>
  <si>
    <t>jika mengacu kepada asumsi, seharusnya:</t>
  </si>
  <si>
    <t>Total MK: 10+20=30 tahun</t>
  </si>
  <si>
    <t>Manfaat Pensiun: 2%*(26530000)*(30)=15918000</t>
  </si>
  <si>
    <t>3. Diskontokan ke saat ini (PV)</t>
  </si>
  <si>
    <t>PV = Manfaat Pensiun / (1+Tingkat diskonto)^(sisa MK)</t>
  </si>
  <si>
    <t>PV = (15918000)/(1+6%)^20 = 4963307</t>
  </si>
  <si>
    <t>4. Menghitung kewajiban menggunakan PUC</t>
  </si>
  <si>
    <t>Kejawiban/PVDBO = PV*(MK lalu/MK Total) = 4963307*(10/30) = 1654436</t>
  </si>
  <si>
    <t>CSC = PV*(1/MK Total) = 4963307*(1/30) = 165444</t>
  </si>
  <si>
    <t>*note: contoh formula manfaat pensiun sangat tidak lazim, mungkin dapat dibuat perkalian (1-9)*Gaji terkahir*MK</t>
  </si>
  <si>
    <t>kelebihan bayar disini, maksudnya bukan kesalahan administrasi</t>
  </si>
  <si>
    <t>tetapi, jumlah total realisasi &gt; kewajiban yang dicadangkan</t>
  </si>
  <si>
    <t>bagaimana treatmentnya pada kewajiban karyawan tsb?</t>
  </si>
  <si>
    <t>- kewajiban karyawan menjadi 0, baik karyawan dengan realisasi &gt; kewajiban maupun realisasi &lt; kewajiban</t>
  </si>
  <si>
    <t>jadi, untuk seluruh case apapun, jika karyawan keluar, kewajiban = 0</t>
  </si>
  <si>
    <t>Bagaimana dampak pada laporan IPK?</t>
  </si>
  <si>
    <t>- jika terdapat karyawan keluar dengan realisasi &gt; kewajiban, maka selisihnya akan diakui sebagai biaya jasa lalu yang diakui langsung sebagai beban pada tahun berjalan</t>
  </si>
  <si>
    <t>- jika terdapat karyawan keluar dengan realisasi &lt; kewajiban, maka selisihnya akan diakui sebagai pendapatan pada pengalaman penyesuaian yang akan diakui langsung sebagai OCI pada tahun berjalan</t>
  </si>
  <si>
    <t>umumnya realisasi yang dibayarkan perusahaan kepada karyawannya akan selalu lebih besar daripada kewajibannya, karena tgl karyawan keluar &gt; tgl perhitungan cadangan</t>
  </si>
  <si>
    <t>namun tidak menutup kemungkinan jika realisasi dapat lebih kecil daripada kewajibannya, yang dapat disebabkan salah satunya karena manfaat yang digunakan dalam perhitugan tidak sesuai dengan manfaat yang digunakan dalam perhitungan realisasi oleh perusahaan</t>
  </si>
  <si>
    <t>dalam konteks perhitungan IPK</t>
  </si>
  <si>
    <t>perbedaan antara SAK ETAP dan SAK EP terletak pada pengakuan keuntungan/kerugian aktuarial</t>
  </si>
  <si>
    <t>- SAK ETAP: keuntungan/kerugian aktuarial diakui sebagai beban/pendapatan pada beban tahun berjalan</t>
  </si>
  <si>
    <t>- SAK EP: keuntungan /kerugian aktuarial diakui sebagai beban/pendapatan pada OCI tahun berjalan</t>
  </si>
  <si>
    <t>apa perbedaan antara PSAK 24 dan PSAK 219</t>
  </si>
  <si>
    <t>penjelasan PSAK 219 masih belum sesuai, seharusnya sama2 tentang IPK</t>
  </si>
  <si>
    <t>contoh masih belum sesuai</t>
  </si>
  <si>
    <t>Kewajiban akhir = kewajiban awal + beban - realisasi manfaat + iuran DPLK perusahaan + OCI</t>
  </si>
  <si>
    <t>Pengurangan manfaat/benefit payment tidak termasuk</t>
  </si>
  <si>
    <t>komponen beban:</t>
  </si>
  <si>
    <t>- CSC</t>
  </si>
  <si>
    <t>- Biaya Bunga:</t>
  </si>
  <si>
    <t>1. Biaya Bunga atas kewajiban</t>
  </si>
  <si>
    <t>2. Biaya bunga atas batas atas aset</t>
  </si>
  <si>
    <t>- Harapan dari hasil investasi</t>
  </si>
  <si>
    <t>- dampak kurtailment/penyelesaian</t>
  </si>
  <si>
    <t>- pengakuan segera atas biaya jasa lalu (untuk PSAK 24)</t>
  </si>
  <si>
    <t>- pengakuan segera atas keuntungan/kerugian aktuarial (untuk SAK ETAP)</t>
  </si>
  <si>
    <t>- Karyawan tsb dikeluarkan dari perhitungan Kewajiban/PVDBO (karena karyawan tsb tetap dianggap sebagai karyawan yg sudah tidak aktif)</t>
  </si>
  <si>
    <t>- Realisasinya diakui sesuai dengan jumlah yang dibayarkannya baik lumpsum maupun cicilan</t>
  </si>
  <si>
    <t>contoh:</t>
  </si>
  <si>
    <t>misalkan karyawan A pensiun per tanggal 10 Oktober 2024, dengan uang pensiun total sebesar 100jt (40jt dibayarkan pada saat pensiun, dan sisanya dibayarkan ditahun depan)</t>
  </si>
  <si>
    <t>per tgl valuasi 31 des 2025, karyawan tsb sudah tidak masuk perhitungan</t>
  </si>
  <si>
    <t>dengan 40jt (dicatat sebagai realisasi pembayaran) selisihnya dengan kewajiban akan diakui pada bjs atau pengalaman penyesuaian</t>
  </si>
  <si>
    <t>per tgl valuasi 31 des 2026, sisa realisasi 60jt dicatat sbg realisasi pembayaran tahun berjalan, dan selisihnya dengan kewajiban akan diakui pada bjs atau pengalaman penyesuaian</t>
  </si>
  <si>
    <t>Penjelasan OTLEB sudah OKE, namun penjelasan mengenai CBS masih kurang sesuai</t>
  </si>
  <si>
    <t>CBS = Cuti Besar, merupakan salah satu manfaat jangka panjang lainnya yang dapat diakui sebegai OTLEB</t>
  </si>
  <si>
    <t>Cuti besar adalah hak cuti tahunan tambahan yang diberikan kepada karyawan setelah bekerja dalam jangka waktu tertentu secara terus-menerus di suatu perusahaan.</t>
  </si>
  <si>
    <t>Cuti Besar, ada yang dapat memperoleh uang ataupun tidak</t>
  </si>
  <si>
    <t>untuk CBS yang memperoleh uang, CBS ini ada yang dapat diuangkan ada yang tidak</t>
  </si>
  <si>
    <t>Jika karyawan tidak mengambil cuti besar, masa benefit cuti besar tsb gugur -&gt; contoh CBS yang memperoleh uang dan tidak dapat diuangkan</t>
  </si>
  <si>
    <t>Jika karyawan tidak mengambil cuti besar, karyawan tsb masih mendapatkan benefit uangnya -&gt; contoh CBS yang memperoleh uang yang dapat diuangkan</t>
  </si>
  <si>
    <t>apakah Semua jenis CBS harus dihitung? tidak, hanya CBS yang memiliki benefit uang yang dapat diuangkan yang wajib dihitung sesuai PSAK 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</si>
</sst>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 d"/>
  </numFmts>
  <fonts count="11">
    <font>
      <sz val="10.0"/>
      <color rgb="FF000000"/>
      <name val="Arial"/>
      <scheme val="minor"/>
    </font>
    <font>
      <b/>
      <i/>
      <sz val="10.0"/>
      <color rgb="FFFF0000"/>
      <name val="Tahoma"/>
    </font>
    <font>
      <sz val="10.0"/>
      <color theme="1"/>
      <name val="Tahoma"/>
    </font>
    <font>
      <sz val="10.0"/>
      <color rgb="FFFFFFFF"/>
      <name val="Tahoma"/>
    </font>
    <font>
      <sz val="10.0"/>
      <color rgb="FF232323"/>
      <name val="Tahoma"/>
    </font>
    <font>
      <sz val="10.0"/>
      <color theme="1"/>
      <name val="Arial"/>
      <scheme val="minor"/>
    </font>
    <font>
      <sz val="10.0"/>
      <color rgb="FF000000"/>
      <name val="Tahoma"/>
    </font>
    <font>
      <b/>
      <sz val="10.0"/>
      <color rgb="FF000000"/>
      <name val="Tahoma"/>
    </font>
    <font>
      <i/>
      <sz val="10.0"/>
      <color rgb="FF000000"/>
      <name val="Tahoma"/>
    </font>
    <font>
      <b/>
      <sz val="10.0"/>
      <color theme="1"/>
      <name val="Tahoma"/>
    </font>
    <font>
      <i/>
      <u/>
      <sz val="10.0"/>
      <color rgb="FF000000"/>
      <name val="Tahoma"/>
    </font>
  </fonts>
  <fills count="7">
    <fill>
      <patternFill patternType="none"/>
    </fill>
    <fill>
      <patternFill patternType="lightGray"/>
    </fill>
    <fill>
      <patternFill patternType="solid">
        <fgColor rgb="FF073763"/>
        <bgColor rgb="FF073763"/>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10" xfId="0" applyAlignment="1" applyFont="1" applyNumberFormat="1">
      <alignment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3" fontId="2" numFmtId="0" xfId="0" applyAlignment="1" applyBorder="1" applyFill="1" applyFont="1">
      <alignment horizontal="left" readingOrder="0" shrinkToFit="0" vertical="center" wrapText="1"/>
    </xf>
    <xf borderId="1" fillId="3" fontId="2" numFmtId="164" xfId="0" applyAlignment="1" applyBorder="1" applyFont="1" applyNumberFormat="1">
      <alignment horizontal="left" readingOrder="0" shrinkToFit="0" vertical="center" wrapText="1"/>
    </xf>
    <xf borderId="1" fillId="4" fontId="2" numFmtId="0" xfId="0" applyAlignment="1" applyBorder="1" applyFill="1" applyFont="1">
      <alignment horizontal="left" readingOrder="0" shrinkToFit="0" vertical="center" wrapText="1"/>
    </xf>
    <xf borderId="0" fillId="0" fontId="2" numFmtId="0" xfId="0" applyAlignment="1" applyFont="1">
      <alignment horizontal="left" readingOrder="0" shrinkToFit="0" vertical="center" wrapText="1"/>
    </xf>
    <xf borderId="1" fillId="5" fontId="2" numFmtId="0" xfId="0" applyAlignment="1" applyBorder="1" applyFill="1" applyFont="1">
      <alignment horizontal="left" readingOrder="0" shrinkToFit="0" vertical="center" wrapText="1"/>
    </xf>
    <xf borderId="1" fillId="0" fontId="4" numFmtId="0" xfId="0" applyAlignment="1" applyBorder="1" applyFont="1">
      <alignment horizontal="left" shrinkToFit="0" vertical="center" wrapText="1"/>
    </xf>
    <xf borderId="0" fillId="0" fontId="5" numFmtId="0" xfId="0" applyFont="1"/>
    <xf borderId="0" fillId="0" fontId="2" numFmtId="0" xfId="0" applyAlignment="1" applyFont="1">
      <alignment readingOrder="0" shrinkToFit="0" vertical="center" wrapText="1"/>
    </xf>
    <xf borderId="0" fillId="0" fontId="4" numFmtId="0" xfId="0" applyAlignment="1" applyFont="1">
      <alignment shrinkToFit="0" vertical="center" wrapText="1"/>
    </xf>
    <xf borderId="1" fillId="0" fontId="2" numFmtId="0" xfId="0" applyAlignment="1" applyBorder="1" applyFont="1">
      <alignment horizontal="left" shrinkToFit="0" vertical="center" wrapText="1"/>
    </xf>
    <xf borderId="1" fillId="6" fontId="2" numFmtId="0" xfId="0" applyAlignment="1" applyBorder="1" applyFill="1" applyFont="1">
      <alignment horizontal="left" readingOrder="0" shrinkToFit="0" vertical="center" wrapText="1"/>
    </xf>
    <xf borderId="1" fillId="0" fontId="2" numFmtId="165" xfId="0" applyAlignment="1" applyBorder="1" applyFont="1" applyNumberFormat="1">
      <alignment horizontal="left" readingOrder="0" shrinkToFit="0" vertical="center" wrapText="1"/>
    </xf>
    <xf borderId="1" fillId="0" fontId="2" numFmtId="0" xfId="0" applyAlignment="1" applyBorder="1" applyFont="1">
      <alignment horizontal="left" readingOrder="0" vertical="center"/>
    </xf>
    <xf borderId="0" fillId="0" fontId="2" numFmtId="0" xfId="0" applyAlignment="1" applyFont="1">
      <alignment readingOrder="0" vertical="center"/>
    </xf>
    <xf borderId="1" fillId="0" fontId="2" numFmtId="0" xfId="0" applyAlignment="1" applyBorder="1" applyFont="1">
      <alignment horizontal="left" vertical="center"/>
    </xf>
    <xf borderId="0" fillId="0" fontId="2" numFmtId="0" xfId="0" applyAlignment="1" applyFont="1">
      <alignment horizontal="left" vertical="center"/>
    </xf>
    <xf borderId="0" fillId="0" fontId="2" numFmtId="0" xfId="0" applyAlignment="1" applyFont="1">
      <alignment horizontal="left" shrinkToFit="0" vertical="center" wrapText="1"/>
    </xf>
    <xf borderId="0" fillId="6" fontId="6" numFmtId="0" xfId="0" applyAlignment="1" applyFont="1">
      <alignment readingOrder="0"/>
    </xf>
    <xf borderId="0" fillId="6" fontId="6" numFmtId="0" xfId="0" applyFont="1"/>
    <xf borderId="0" fillId="6" fontId="7" numFmtId="0" xfId="0" applyAlignment="1" applyFont="1">
      <alignment horizontal="center" readingOrder="0"/>
    </xf>
    <xf borderId="0" fillId="6" fontId="7" numFmtId="0" xfId="0" applyAlignment="1" applyFont="1">
      <alignment readingOrder="0"/>
    </xf>
    <xf quotePrefix="1" borderId="0" fillId="6" fontId="6" numFmtId="0" xfId="0" applyAlignment="1" applyFont="1">
      <alignment readingOrder="0"/>
    </xf>
    <xf borderId="0" fillId="6" fontId="8" numFmtId="0" xfId="0" applyAlignment="1" applyFont="1">
      <alignment readingOrder="0"/>
    </xf>
    <xf borderId="0" fillId="6" fontId="7" numFmtId="0" xfId="0" applyAlignment="1" applyFont="1">
      <alignment horizontal="center" readingOrder="0" vertical="bottom"/>
    </xf>
    <xf borderId="0" fillId="6" fontId="7" numFmtId="0" xfId="0" applyAlignment="1" applyFont="1">
      <alignment readingOrder="0" vertical="bottom"/>
    </xf>
    <xf borderId="0" fillId="6" fontId="6" numFmtId="0" xfId="0" applyAlignment="1" applyFont="1">
      <alignment vertical="bottom"/>
    </xf>
    <xf borderId="0" fillId="6" fontId="6" numFmtId="0" xfId="0" applyAlignment="1" applyFont="1">
      <alignment readingOrder="0" vertical="bottom"/>
    </xf>
    <xf borderId="0" fillId="0" fontId="2" numFmtId="0" xfId="0" applyFont="1"/>
    <xf borderId="0" fillId="6" fontId="6" numFmtId="0" xfId="0" applyAlignment="1" applyFont="1">
      <alignment horizontal="left" readingOrder="0"/>
    </xf>
    <xf borderId="0" fillId="6" fontId="6" numFmtId="0" xfId="0" applyAlignment="1" applyFont="1">
      <alignment horizontal="left"/>
    </xf>
    <xf quotePrefix="1" borderId="0" fillId="6" fontId="6" numFmtId="0" xfId="0" applyAlignment="1" applyFont="1">
      <alignment horizontal="left" readingOrder="0"/>
    </xf>
    <xf borderId="0" fillId="6" fontId="7" numFmtId="0" xfId="0" applyFont="1"/>
    <xf borderId="0" fillId="0" fontId="2" numFmtId="0" xfId="0" applyAlignment="1" applyFont="1">
      <alignment readingOrder="0"/>
    </xf>
    <xf borderId="0" fillId="0" fontId="9" numFmtId="0" xfId="0" applyAlignment="1" applyFont="1">
      <alignment readingOrder="0"/>
    </xf>
    <xf borderId="0" fillId="6" fontId="10" numFmtId="0" xfId="0" applyAlignment="1" applyFont="1">
      <alignment readingOrder="0"/>
    </xf>
    <xf borderId="1" fillId="6" fontId="6" numFmtId="0" xfId="0" applyBorder="1" applyFont="1"/>
    <xf borderId="1" fillId="6" fontId="6" numFmtId="0" xfId="0" applyAlignment="1" applyBorder="1" applyFont="1">
      <alignment readingOrder="0"/>
    </xf>
    <xf borderId="1" fillId="6" fontId="6"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2.png"/><Relationship Id="rId7" Type="http://schemas.openxmlformats.org/officeDocument/2006/relationships/image" Target="../media/image8.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200025</xdr:rowOff>
    </xdr:from>
    <xdr:ext cx="5781675" cy="3524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171450</xdr:rowOff>
    </xdr:from>
    <xdr:ext cx="2124075" cy="3524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24</xdr:row>
      <xdr:rowOff>200025</xdr:rowOff>
    </xdr:from>
    <xdr:ext cx="4819650" cy="12858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962025</xdr:colOff>
      <xdr:row>37</xdr:row>
      <xdr:rowOff>200025</xdr:rowOff>
    </xdr:from>
    <xdr:ext cx="4819650" cy="12477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46</xdr:row>
      <xdr:rowOff>209550</xdr:rowOff>
    </xdr:from>
    <xdr:ext cx="4819650" cy="160972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695325</xdr:colOff>
      <xdr:row>0</xdr:row>
      <xdr:rowOff>107965875</xdr:rowOff>
    </xdr:from>
    <xdr:ext cx="2886075" cy="16097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695325</xdr:colOff>
      <xdr:row>553</xdr:row>
      <xdr:rowOff>190500</xdr:rowOff>
    </xdr:from>
    <xdr:ext cx="2181225" cy="1285875"/>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695325</xdr:colOff>
      <xdr:row>622</xdr:row>
      <xdr:rowOff>200025</xdr:rowOff>
    </xdr:from>
    <xdr:ext cx="4181475" cy="24098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88"/>
    <col customWidth="1" min="2" max="2" width="10.25"/>
    <col customWidth="1" min="3" max="3" width="12.75"/>
    <col customWidth="1" min="4" max="4" width="55.25"/>
    <col customWidth="1" min="5" max="5" width="15.75"/>
    <col customWidth="1" min="6" max="6" width="13.38"/>
    <col customWidth="1" min="7" max="7" width="12.38"/>
    <col customWidth="1" min="8" max="8" width="13.63"/>
    <col customWidth="1" min="9" max="9" width="14.63"/>
    <col customWidth="1" min="10" max="10" width="42.13"/>
    <col customWidth="1" min="11" max="11" width="12.63"/>
    <col customWidth="1" min="12" max="13" width="12.75"/>
  </cols>
  <sheetData>
    <row r="1">
      <c r="A1" s="1" t="s">
        <v>0</v>
      </c>
      <c r="B1" s="2"/>
      <c r="C1" s="3"/>
      <c r="D1" s="4"/>
      <c r="E1" s="5">
        <f>F1/count(A3:A1500)</f>
        <v>0.3793103448</v>
      </c>
      <c r="F1" s="3">
        <f>countif(F3:F1270,"FALSE")</f>
        <v>55</v>
      </c>
      <c r="G1" s="5">
        <f>H1/count(A3:A1500)</f>
        <v>0.6137931034</v>
      </c>
      <c r="H1" s="3">
        <f>countif(F3:F1270,"OK")</f>
        <v>89</v>
      </c>
      <c r="I1" s="6"/>
      <c r="J1" s="4"/>
      <c r="K1" s="2"/>
      <c r="L1" s="2"/>
      <c r="M1" s="2"/>
      <c r="N1" s="2"/>
      <c r="O1" s="2"/>
      <c r="P1" s="2"/>
      <c r="Q1" s="2"/>
      <c r="R1" s="2"/>
      <c r="S1" s="2"/>
      <c r="T1" s="2"/>
      <c r="U1" s="2"/>
      <c r="V1" s="2"/>
      <c r="W1" s="2"/>
      <c r="X1" s="2"/>
      <c r="Y1" s="2"/>
    </row>
    <row r="2">
      <c r="A2" s="7" t="s">
        <v>1</v>
      </c>
      <c r="B2" s="7" t="s">
        <v>2</v>
      </c>
      <c r="C2" s="7" t="s">
        <v>3</v>
      </c>
      <c r="D2" s="7" t="s">
        <v>4</v>
      </c>
      <c r="E2" s="7" t="s">
        <v>5</v>
      </c>
      <c r="F2" s="7" t="s">
        <v>6</v>
      </c>
      <c r="G2" s="7" t="s">
        <v>7</v>
      </c>
      <c r="H2" s="7" t="s">
        <v>8</v>
      </c>
      <c r="I2" s="7" t="s">
        <v>9</v>
      </c>
      <c r="J2" s="7" t="s">
        <v>10</v>
      </c>
      <c r="K2" s="6"/>
      <c r="L2" s="6"/>
      <c r="M2" s="6"/>
      <c r="N2" s="6"/>
      <c r="O2" s="6"/>
      <c r="P2" s="6"/>
      <c r="Q2" s="6"/>
      <c r="R2" s="6"/>
      <c r="S2" s="6"/>
      <c r="T2" s="6"/>
      <c r="U2" s="6"/>
      <c r="V2" s="6"/>
      <c r="W2" s="6"/>
      <c r="X2" s="6"/>
      <c r="Y2" s="6"/>
    </row>
    <row r="3" ht="26.25" customHeight="1">
      <c r="A3" s="8">
        <f t="shared" ref="A3:A147" si="1">row(A1)</f>
        <v>1</v>
      </c>
      <c r="B3" s="9">
        <v>45938.0</v>
      </c>
      <c r="C3" s="8" t="s">
        <v>11</v>
      </c>
      <c r="D3" s="8" t="s">
        <v>12</v>
      </c>
      <c r="E3" s="8" t="s">
        <v>13</v>
      </c>
      <c r="F3" s="8" t="s">
        <v>14</v>
      </c>
      <c r="G3" s="8" t="s">
        <v>14</v>
      </c>
      <c r="H3" s="8" t="s">
        <v>15</v>
      </c>
      <c r="I3" s="8">
        <v>5.0</v>
      </c>
      <c r="J3" s="8" t="s">
        <v>16</v>
      </c>
      <c r="K3" s="4"/>
      <c r="L3" s="4"/>
      <c r="M3" s="4"/>
      <c r="N3" s="4"/>
      <c r="O3" s="4"/>
      <c r="P3" s="4"/>
      <c r="Q3" s="4"/>
      <c r="R3" s="4"/>
      <c r="S3" s="4"/>
      <c r="T3" s="4"/>
      <c r="U3" s="4"/>
      <c r="V3" s="4"/>
      <c r="W3" s="4"/>
      <c r="X3" s="4"/>
      <c r="Y3" s="4"/>
    </row>
    <row r="4" ht="26.25" customHeight="1">
      <c r="A4" s="8">
        <f t="shared" si="1"/>
        <v>2</v>
      </c>
      <c r="B4" s="9">
        <v>45938.0</v>
      </c>
      <c r="C4" s="8" t="s">
        <v>11</v>
      </c>
      <c r="D4" s="8" t="s">
        <v>17</v>
      </c>
      <c r="E4" s="8" t="s">
        <v>13</v>
      </c>
      <c r="F4" s="8" t="s">
        <v>14</v>
      </c>
      <c r="G4" s="8" t="s">
        <v>14</v>
      </c>
      <c r="H4" s="8" t="s">
        <v>15</v>
      </c>
      <c r="I4" s="8">
        <v>27.0</v>
      </c>
      <c r="J4" s="8" t="s">
        <v>16</v>
      </c>
      <c r="K4" s="4"/>
      <c r="L4" s="4"/>
      <c r="M4" s="4"/>
      <c r="N4" s="4"/>
      <c r="O4" s="4"/>
      <c r="P4" s="4"/>
      <c r="Q4" s="4"/>
      <c r="R4" s="4"/>
      <c r="S4" s="4"/>
      <c r="T4" s="4"/>
      <c r="U4" s="4"/>
      <c r="V4" s="4"/>
      <c r="W4" s="4"/>
      <c r="X4" s="4"/>
      <c r="Y4" s="4"/>
    </row>
    <row r="5" ht="26.25" customHeight="1">
      <c r="A5" s="8">
        <f t="shared" si="1"/>
        <v>3</v>
      </c>
      <c r="B5" s="9">
        <v>45938.0</v>
      </c>
      <c r="C5" s="8" t="s">
        <v>11</v>
      </c>
      <c r="D5" s="8" t="s">
        <v>18</v>
      </c>
      <c r="E5" s="8" t="s">
        <v>19</v>
      </c>
      <c r="F5" s="8" t="s">
        <v>14</v>
      </c>
      <c r="G5" s="8" t="s">
        <v>14</v>
      </c>
      <c r="H5" s="8" t="s">
        <v>15</v>
      </c>
      <c r="I5" s="8">
        <v>5.0</v>
      </c>
      <c r="J5" s="8" t="s">
        <v>16</v>
      </c>
      <c r="K5" s="4"/>
      <c r="L5" s="4"/>
      <c r="M5" s="4"/>
      <c r="N5" s="4"/>
      <c r="O5" s="4"/>
      <c r="P5" s="4"/>
      <c r="Q5" s="4"/>
      <c r="R5" s="4"/>
      <c r="S5" s="4"/>
      <c r="T5" s="4"/>
      <c r="U5" s="4"/>
      <c r="V5" s="4"/>
      <c r="W5" s="4"/>
      <c r="X5" s="4"/>
      <c r="Y5" s="4"/>
    </row>
    <row r="6" ht="26.25" customHeight="1">
      <c r="A6" s="8">
        <f t="shared" si="1"/>
        <v>4</v>
      </c>
      <c r="B6" s="9">
        <v>45938.0</v>
      </c>
      <c r="C6" s="8" t="s">
        <v>11</v>
      </c>
      <c r="D6" s="8" t="s">
        <v>20</v>
      </c>
      <c r="E6" s="8" t="s">
        <v>13</v>
      </c>
      <c r="F6" s="8" t="s">
        <v>14</v>
      </c>
      <c r="G6" s="8" t="s">
        <v>14</v>
      </c>
      <c r="H6" s="8" t="s">
        <v>15</v>
      </c>
      <c r="I6" s="8">
        <v>2.0</v>
      </c>
      <c r="J6" s="8" t="s">
        <v>16</v>
      </c>
      <c r="K6" s="4"/>
      <c r="L6" s="4"/>
      <c r="M6" s="4"/>
      <c r="N6" s="4"/>
      <c r="O6" s="4"/>
      <c r="P6" s="4"/>
      <c r="Q6" s="4"/>
      <c r="R6" s="4"/>
      <c r="S6" s="4"/>
      <c r="T6" s="4"/>
      <c r="U6" s="4"/>
      <c r="V6" s="4"/>
      <c r="W6" s="4"/>
      <c r="X6" s="4"/>
      <c r="Y6" s="4"/>
    </row>
    <row r="7" ht="26.25" customHeight="1">
      <c r="A7" s="8">
        <f t="shared" si="1"/>
        <v>5</v>
      </c>
      <c r="B7" s="9">
        <v>45938.0</v>
      </c>
      <c r="C7" s="8" t="s">
        <v>11</v>
      </c>
      <c r="D7" s="8" t="s">
        <v>21</v>
      </c>
      <c r="E7" s="8" t="s">
        <v>22</v>
      </c>
      <c r="F7" s="8" t="s">
        <v>14</v>
      </c>
      <c r="G7" s="8" t="s">
        <v>23</v>
      </c>
      <c r="H7" s="8" t="s">
        <v>24</v>
      </c>
      <c r="I7" s="8">
        <v>42.0</v>
      </c>
      <c r="J7" s="8" t="s">
        <v>25</v>
      </c>
      <c r="K7" s="4"/>
      <c r="L7" s="4"/>
      <c r="M7" s="4"/>
      <c r="N7" s="4"/>
      <c r="O7" s="4"/>
      <c r="P7" s="4"/>
      <c r="Q7" s="4"/>
      <c r="R7" s="4"/>
      <c r="S7" s="4"/>
      <c r="T7" s="4"/>
      <c r="U7" s="4"/>
      <c r="V7" s="4"/>
      <c r="W7" s="4"/>
      <c r="X7" s="4"/>
      <c r="Y7" s="4"/>
    </row>
    <row r="8" ht="26.25" customHeight="1">
      <c r="A8" s="8">
        <f t="shared" si="1"/>
        <v>6</v>
      </c>
      <c r="B8" s="9">
        <v>45939.0</v>
      </c>
      <c r="C8" s="8" t="s">
        <v>11</v>
      </c>
      <c r="D8" s="8" t="s">
        <v>26</v>
      </c>
      <c r="E8" s="8" t="s">
        <v>22</v>
      </c>
      <c r="F8" s="8" t="s">
        <v>14</v>
      </c>
      <c r="G8" s="8" t="s">
        <v>14</v>
      </c>
      <c r="H8" s="8" t="s">
        <v>15</v>
      </c>
      <c r="I8" s="8">
        <v>9.0</v>
      </c>
      <c r="J8" s="8" t="s">
        <v>16</v>
      </c>
      <c r="K8" s="4"/>
      <c r="L8" s="4"/>
      <c r="M8" s="4"/>
      <c r="N8" s="4"/>
      <c r="O8" s="4"/>
      <c r="P8" s="4"/>
      <c r="Q8" s="4"/>
      <c r="R8" s="4"/>
      <c r="S8" s="4"/>
      <c r="T8" s="4"/>
      <c r="U8" s="4"/>
      <c r="V8" s="4"/>
      <c r="W8" s="4"/>
      <c r="X8" s="4"/>
      <c r="Y8" s="4"/>
    </row>
    <row r="9" ht="26.25" customHeight="1">
      <c r="A9" s="8">
        <f t="shared" si="1"/>
        <v>7</v>
      </c>
      <c r="B9" s="9">
        <v>45939.0</v>
      </c>
      <c r="C9" s="8" t="s">
        <v>11</v>
      </c>
      <c r="D9" s="8" t="s">
        <v>27</v>
      </c>
      <c r="E9" s="8" t="s">
        <v>22</v>
      </c>
      <c r="F9" s="8" t="s">
        <v>14</v>
      </c>
      <c r="G9" s="8" t="s">
        <v>14</v>
      </c>
      <c r="H9" s="8" t="s">
        <v>15</v>
      </c>
      <c r="I9" s="8">
        <v>1.0</v>
      </c>
      <c r="J9" s="8" t="s">
        <v>16</v>
      </c>
      <c r="K9" s="4"/>
      <c r="L9" s="4"/>
      <c r="M9" s="4"/>
      <c r="N9" s="4"/>
      <c r="O9" s="4"/>
      <c r="P9" s="4"/>
      <c r="Q9" s="4"/>
      <c r="R9" s="4"/>
      <c r="S9" s="4"/>
      <c r="T9" s="4"/>
      <c r="U9" s="4"/>
      <c r="V9" s="4"/>
      <c r="W9" s="4"/>
      <c r="X9" s="4"/>
      <c r="Y9" s="4"/>
    </row>
    <row r="10" ht="26.25" customHeight="1">
      <c r="A10" s="8">
        <f t="shared" si="1"/>
        <v>8</v>
      </c>
      <c r="B10" s="9">
        <v>45939.0</v>
      </c>
      <c r="C10" s="8" t="s">
        <v>11</v>
      </c>
      <c r="D10" s="8" t="s">
        <v>28</v>
      </c>
      <c r="E10" s="8" t="s">
        <v>22</v>
      </c>
      <c r="F10" s="8" t="s">
        <v>14</v>
      </c>
      <c r="G10" s="8" t="s">
        <v>23</v>
      </c>
      <c r="H10" s="8" t="s">
        <v>24</v>
      </c>
      <c r="I10" s="8">
        <v>1.0</v>
      </c>
      <c r="J10" s="8" t="s">
        <v>25</v>
      </c>
      <c r="K10" s="4"/>
      <c r="L10" s="4"/>
      <c r="M10" s="4"/>
      <c r="N10" s="4"/>
      <c r="O10" s="4"/>
      <c r="P10" s="4"/>
      <c r="Q10" s="4"/>
      <c r="R10" s="4"/>
      <c r="S10" s="4"/>
      <c r="T10" s="4"/>
      <c r="U10" s="4"/>
      <c r="V10" s="4"/>
      <c r="W10" s="4"/>
      <c r="X10" s="4"/>
      <c r="Y10" s="4"/>
    </row>
    <row r="11" ht="26.25" customHeight="1">
      <c r="A11" s="8">
        <f t="shared" si="1"/>
        <v>9</v>
      </c>
      <c r="B11" s="9">
        <v>45939.0</v>
      </c>
      <c r="C11" s="8" t="s">
        <v>11</v>
      </c>
      <c r="D11" s="8" t="s">
        <v>29</v>
      </c>
      <c r="E11" s="8" t="s">
        <v>22</v>
      </c>
      <c r="F11" s="8" t="s">
        <v>14</v>
      </c>
      <c r="G11" s="8" t="s">
        <v>14</v>
      </c>
      <c r="H11" s="8" t="s">
        <v>24</v>
      </c>
      <c r="I11" s="8">
        <v>10.0</v>
      </c>
      <c r="J11" s="8" t="s">
        <v>16</v>
      </c>
      <c r="K11" s="4"/>
      <c r="L11" s="4"/>
      <c r="M11" s="4"/>
      <c r="N11" s="4"/>
      <c r="O11" s="4"/>
      <c r="P11" s="4"/>
      <c r="Q11" s="4"/>
      <c r="R11" s="4"/>
      <c r="S11" s="4"/>
      <c r="T11" s="4"/>
      <c r="U11" s="4"/>
      <c r="V11" s="4"/>
      <c r="W11" s="4"/>
      <c r="X11" s="4"/>
      <c r="Y11" s="4"/>
    </row>
    <row r="12" ht="26.25" customHeight="1">
      <c r="A12" s="8">
        <f t="shared" si="1"/>
        <v>10</v>
      </c>
      <c r="B12" s="9">
        <v>45939.0</v>
      </c>
      <c r="C12" s="8" t="s">
        <v>11</v>
      </c>
      <c r="D12" s="8" t="s">
        <v>30</v>
      </c>
      <c r="E12" s="8" t="s">
        <v>13</v>
      </c>
      <c r="F12" s="8" t="s">
        <v>14</v>
      </c>
      <c r="G12" s="8" t="s">
        <v>14</v>
      </c>
      <c r="H12" s="8" t="s">
        <v>15</v>
      </c>
      <c r="I12" s="8">
        <v>19.0</v>
      </c>
      <c r="J12" s="8" t="s">
        <v>16</v>
      </c>
      <c r="K12" s="4"/>
      <c r="L12" s="4"/>
      <c r="M12" s="4"/>
      <c r="N12" s="4"/>
      <c r="O12" s="4"/>
      <c r="P12" s="4"/>
      <c r="Q12" s="4"/>
      <c r="R12" s="4"/>
      <c r="S12" s="4"/>
      <c r="T12" s="4"/>
      <c r="U12" s="4"/>
      <c r="V12" s="4"/>
      <c r="W12" s="4"/>
      <c r="X12" s="4"/>
      <c r="Y12" s="4"/>
    </row>
    <row r="13" ht="26.25" customHeight="1">
      <c r="A13" s="8">
        <f t="shared" si="1"/>
        <v>11</v>
      </c>
      <c r="B13" s="9">
        <v>45939.0</v>
      </c>
      <c r="C13" s="8" t="s">
        <v>11</v>
      </c>
      <c r="D13" s="8" t="s">
        <v>31</v>
      </c>
      <c r="E13" s="8" t="s">
        <v>32</v>
      </c>
      <c r="F13" s="8" t="s">
        <v>14</v>
      </c>
      <c r="G13" s="8" t="s">
        <v>23</v>
      </c>
      <c r="H13" s="8" t="s">
        <v>15</v>
      </c>
      <c r="I13" s="8">
        <v>6.0</v>
      </c>
      <c r="J13" s="8" t="s">
        <v>25</v>
      </c>
      <c r="K13" s="4"/>
      <c r="L13" s="4"/>
      <c r="M13" s="4"/>
      <c r="N13" s="4"/>
      <c r="O13" s="4"/>
      <c r="P13" s="4"/>
      <c r="Q13" s="4"/>
      <c r="R13" s="4"/>
      <c r="S13" s="4"/>
      <c r="T13" s="4"/>
      <c r="U13" s="4"/>
      <c r="V13" s="4"/>
      <c r="W13" s="4"/>
      <c r="X13" s="4"/>
      <c r="Y13" s="4"/>
    </row>
    <row r="14" ht="26.25" customHeight="1">
      <c r="A14" s="8">
        <f t="shared" si="1"/>
        <v>12</v>
      </c>
      <c r="B14" s="9">
        <v>45939.0</v>
      </c>
      <c r="C14" s="8" t="s">
        <v>11</v>
      </c>
      <c r="D14" s="8" t="s">
        <v>33</v>
      </c>
      <c r="E14" s="8" t="s">
        <v>22</v>
      </c>
      <c r="F14" s="8" t="s">
        <v>14</v>
      </c>
      <c r="G14" s="8" t="s">
        <v>14</v>
      </c>
      <c r="H14" s="8" t="s">
        <v>15</v>
      </c>
      <c r="I14" s="8">
        <v>19.0</v>
      </c>
      <c r="J14" s="8" t="s">
        <v>16</v>
      </c>
      <c r="K14" s="4"/>
      <c r="L14" s="4"/>
      <c r="M14" s="4"/>
      <c r="N14" s="4"/>
      <c r="O14" s="4"/>
      <c r="P14" s="4"/>
      <c r="Q14" s="4"/>
      <c r="R14" s="4"/>
      <c r="S14" s="4"/>
      <c r="T14" s="4"/>
      <c r="U14" s="4"/>
      <c r="V14" s="4"/>
      <c r="W14" s="4"/>
      <c r="X14" s="4"/>
      <c r="Y14" s="4"/>
    </row>
    <row r="15" ht="26.25" customHeight="1">
      <c r="A15" s="8">
        <f t="shared" si="1"/>
        <v>13</v>
      </c>
      <c r="B15" s="9">
        <v>45939.0</v>
      </c>
      <c r="C15" s="8" t="s">
        <v>11</v>
      </c>
      <c r="D15" s="8" t="s">
        <v>34</v>
      </c>
      <c r="E15" s="8" t="s">
        <v>22</v>
      </c>
      <c r="F15" s="8" t="s">
        <v>14</v>
      </c>
      <c r="G15" s="8" t="s">
        <v>14</v>
      </c>
      <c r="H15" s="8" t="s">
        <v>15</v>
      </c>
      <c r="I15" s="8">
        <v>20.0</v>
      </c>
      <c r="J15" s="8" t="s">
        <v>16</v>
      </c>
      <c r="K15" s="4"/>
      <c r="L15" s="4"/>
      <c r="M15" s="4"/>
      <c r="N15" s="4"/>
      <c r="O15" s="4"/>
      <c r="P15" s="4"/>
      <c r="Q15" s="4"/>
      <c r="R15" s="4"/>
      <c r="S15" s="4"/>
      <c r="T15" s="4"/>
      <c r="U15" s="4"/>
      <c r="V15" s="4"/>
      <c r="W15" s="4"/>
      <c r="X15" s="4"/>
      <c r="Y15" s="4"/>
    </row>
    <row r="16" ht="26.25" customHeight="1">
      <c r="A16" s="8">
        <f t="shared" si="1"/>
        <v>14</v>
      </c>
      <c r="B16" s="9">
        <v>45939.0</v>
      </c>
      <c r="C16" s="8" t="s">
        <v>11</v>
      </c>
      <c r="D16" s="8" t="s">
        <v>35</v>
      </c>
      <c r="E16" s="8" t="s">
        <v>13</v>
      </c>
      <c r="F16" s="8" t="s">
        <v>14</v>
      </c>
      <c r="G16" s="8" t="s">
        <v>23</v>
      </c>
      <c r="H16" s="8" t="s">
        <v>15</v>
      </c>
      <c r="I16" s="8">
        <v>13.0</v>
      </c>
      <c r="J16" s="8" t="s">
        <v>25</v>
      </c>
      <c r="K16" s="4"/>
      <c r="L16" s="4"/>
      <c r="M16" s="4"/>
      <c r="N16" s="4"/>
      <c r="O16" s="4"/>
      <c r="P16" s="4"/>
      <c r="Q16" s="4"/>
      <c r="R16" s="4"/>
      <c r="S16" s="4"/>
      <c r="T16" s="4"/>
      <c r="U16" s="4"/>
      <c r="V16" s="4"/>
      <c r="W16" s="4"/>
      <c r="X16" s="4"/>
      <c r="Y16" s="4"/>
    </row>
    <row r="17" ht="26.25" customHeight="1">
      <c r="A17" s="8">
        <f t="shared" si="1"/>
        <v>15</v>
      </c>
      <c r="B17" s="9">
        <v>45939.0</v>
      </c>
      <c r="C17" s="8" t="s">
        <v>36</v>
      </c>
      <c r="D17" s="8" t="s">
        <v>37</v>
      </c>
      <c r="E17" s="8" t="s">
        <v>38</v>
      </c>
      <c r="F17" s="8" t="s">
        <v>14</v>
      </c>
      <c r="G17" s="8" t="s">
        <v>14</v>
      </c>
      <c r="H17" s="8" t="s">
        <v>24</v>
      </c>
      <c r="I17" s="8">
        <v>17.0</v>
      </c>
      <c r="J17" s="8" t="s">
        <v>16</v>
      </c>
      <c r="K17" s="4"/>
      <c r="L17" s="4"/>
      <c r="M17" s="4"/>
      <c r="N17" s="4"/>
      <c r="O17" s="4"/>
      <c r="P17" s="4"/>
      <c r="Q17" s="4"/>
      <c r="R17" s="4"/>
      <c r="S17" s="4"/>
      <c r="T17" s="4"/>
      <c r="U17" s="4"/>
      <c r="V17" s="4"/>
      <c r="W17" s="4"/>
      <c r="X17" s="4"/>
      <c r="Y17" s="4"/>
    </row>
    <row r="18" ht="26.25" customHeight="1">
      <c r="A18" s="8">
        <f t="shared" si="1"/>
        <v>16</v>
      </c>
      <c r="B18" s="9">
        <v>45939.0</v>
      </c>
      <c r="C18" s="8" t="s">
        <v>36</v>
      </c>
      <c r="D18" s="8" t="s">
        <v>39</v>
      </c>
      <c r="E18" s="8" t="s">
        <v>40</v>
      </c>
      <c r="F18" s="8" t="s">
        <v>14</v>
      </c>
      <c r="G18" s="8" t="s">
        <v>14</v>
      </c>
      <c r="H18" s="8" t="s">
        <v>24</v>
      </c>
      <c r="I18" s="8" t="s">
        <v>41</v>
      </c>
      <c r="J18" s="8" t="s">
        <v>16</v>
      </c>
      <c r="K18" s="4"/>
      <c r="L18" s="4"/>
      <c r="M18" s="4"/>
      <c r="N18" s="4"/>
      <c r="O18" s="4"/>
      <c r="P18" s="4"/>
      <c r="Q18" s="4"/>
      <c r="R18" s="4"/>
      <c r="S18" s="4"/>
      <c r="T18" s="4"/>
      <c r="U18" s="4"/>
      <c r="V18" s="4"/>
      <c r="W18" s="4"/>
      <c r="X18" s="4"/>
      <c r="Y18" s="4"/>
    </row>
    <row r="19" ht="26.25" customHeight="1">
      <c r="A19" s="8">
        <f t="shared" si="1"/>
        <v>17</v>
      </c>
      <c r="B19" s="9">
        <v>45940.0</v>
      </c>
      <c r="C19" s="8" t="s">
        <v>36</v>
      </c>
      <c r="D19" s="8" t="s">
        <v>42</v>
      </c>
      <c r="E19" s="8" t="s">
        <v>43</v>
      </c>
      <c r="F19" s="8" t="s">
        <v>14</v>
      </c>
      <c r="G19" s="8" t="s">
        <v>14</v>
      </c>
      <c r="H19" s="8" t="s">
        <v>24</v>
      </c>
      <c r="I19" s="8">
        <v>13.0</v>
      </c>
      <c r="J19" s="8" t="s">
        <v>16</v>
      </c>
      <c r="K19" s="4"/>
      <c r="L19" s="4"/>
      <c r="M19" s="4"/>
      <c r="N19" s="4"/>
      <c r="O19" s="4"/>
      <c r="P19" s="4"/>
      <c r="Q19" s="4"/>
      <c r="R19" s="4"/>
      <c r="S19" s="4"/>
      <c r="T19" s="4"/>
      <c r="U19" s="4"/>
      <c r="V19" s="4"/>
      <c r="W19" s="4"/>
      <c r="X19" s="4"/>
      <c r="Y19" s="4"/>
    </row>
    <row r="20" ht="26.25" customHeight="1">
      <c r="A20" s="8">
        <f t="shared" si="1"/>
        <v>18</v>
      </c>
      <c r="B20" s="9">
        <v>45940.0</v>
      </c>
      <c r="C20" s="8" t="s">
        <v>36</v>
      </c>
      <c r="D20" s="8" t="s">
        <v>44</v>
      </c>
      <c r="E20" s="8" t="s">
        <v>45</v>
      </c>
      <c r="F20" s="8" t="s">
        <v>14</v>
      </c>
      <c r="G20" s="8" t="s">
        <v>14</v>
      </c>
      <c r="H20" s="8" t="s">
        <v>24</v>
      </c>
      <c r="I20" s="8">
        <v>41.0</v>
      </c>
      <c r="J20" s="8" t="s">
        <v>16</v>
      </c>
      <c r="K20" s="4"/>
      <c r="L20" s="4"/>
      <c r="M20" s="4"/>
      <c r="N20" s="4"/>
      <c r="O20" s="4"/>
      <c r="P20" s="4"/>
      <c r="Q20" s="4"/>
      <c r="R20" s="4"/>
      <c r="S20" s="4"/>
      <c r="T20" s="4"/>
      <c r="U20" s="4"/>
      <c r="V20" s="4"/>
      <c r="W20" s="4"/>
      <c r="X20" s="4"/>
      <c r="Y20" s="4"/>
    </row>
    <row r="21" ht="26.25" customHeight="1">
      <c r="A21" s="8">
        <f t="shared" si="1"/>
        <v>19</v>
      </c>
      <c r="B21" s="9">
        <v>45940.0</v>
      </c>
      <c r="C21" s="8" t="s">
        <v>36</v>
      </c>
      <c r="D21" s="8" t="s">
        <v>46</v>
      </c>
      <c r="E21" s="8" t="s">
        <v>47</v>
      </c>
      <c r="F21" s="8" t="s">
        <v>14</v>
      </c>
      <c r="G21" s="8" t="s">
        <v>14</v>
      </c>
      <c r="H21" s="8" t="s">
        <v>24</v>
      </c>
      <c r="I21" s="8" t="s">
        <v>48</v>
      </c>
      <c r="J21" s="8" t="s">
        <v>16</v>
      </c>
      <c r="K21" s="4"/>
      <c r="L21" s="4"/>
      <c r="M21" s="4"/>
      <c r="N21" s="4"/>
      <c r="O21" s="4"/>
      <c r="P21" s="4"/>
      <c r="Q21" s="4"/>
      <c r="R21" s="4"/>
      <c r="S21" s="4"/>
      <c r="T21" s="4"/>
      <c r="U21" s="4"/>
      <c r="V21" s="4"/>
      <c r="W21" s="4"/>
      <c r="X21" s="4"/>
      <c r="Y21" s="4"/>
    </row>
    <row r="22" ht="26.25" customHeight="1">
      <c r="A22" s="8">
        <f t="shared" si="1"/>
        <v>20</v>
      </c>
      <c r="B22" s="9">
        <v>45940.0</v>
      </c>
      <c r="C22" s="8" t="s">
        <v>36</v>
      </c>
      <c r="D22" s="8" t="s">
        <v>49</v>
      </c>
      <c r="E22" s="8" t="s">
        <v>47</v>
      </c>
      <c r="F22" s="8" t="s">
        <v>14</v>
      </c>
      <c r="G22" s="8" t="s">
        <v>14</v>
      </c>
      <c r="H22" s="8" t="s">
        <v>24</v>
      </c>
      <c r="I22" s="8">
        <v>41.0</v>
      </c>
      <c r="J22" s="8" t="s">
        <v>16</v>
      </c>
      <c r="K22" s="4"/>
      <c r="L22" s="4"/>
      <c r="M22" s="4"/>
      <c r="N22" s="4"/>
      <c r="O22" s="4"/>
      <c r="P22" s="4"/>
      <c r="Q22" s="4"/>
      <c r="R22" s="4"/>
      <c r="S22" s="4"/>
      <c r="T22" s="4"/>
      <c r="U22" s="4"/>
      <c r="V22" s="4"/>
      <c r="W22" s="4"/>
      <c r="X22" s="4"/>
      <c r="Y22" s="4"/>
    </row>
    <row r="23" ht="26.25" customHeight="1">
      <c r="A23" s="8">
        <f t="shared" si="1"/>
        <v>21</v>
      </c>
      <c r="B23" s="9">
        <v>45940.0</v>
      </c>
      <c r="C23" s="8" t="s">
        <v>36</v>
      </c>
      <c r="D23" s="8" t="s">
        <v>50</v>
      </c>
      <c r="E23" s="8" t="s">
        <v>47</v>
      </c>
      <c r="F23" s="8" t="s">
        <v>14</v>
      </c>
      <c r="G23" s="8" t="s">
        <v>14</v>
      </c>
      <c r="H23" s="8" t="s">
        <v>24</v>
      </c>
      <c r="I23" s="8">
        <v>44.0</v>
      </c>
      <c r="J23" s="8" t="s">
        <v>16</v>
      </c>
      <c r="K23" s="4"/>
      <c r="L23" s="4"/>
      <c r="M23" s="4"/>
      <c r="N23" s="4"/>
      <c r="O23" s="4"/>
      <c r="P23" s="4"/>
      <c r="Q23" s="4"/>
      <c r="R23" s="4"/>
      <c r="S23" s="4"/>
      <c r="T23" s="4"/>
      <c r="U23" s="4"/>
      <c r="V23" s="4"/>
      <c r="W23" s="4"/>
      <c r="X23" s="4"/>
      <c r="Y23" s="4"/>
    </row>
    <row r="24" ht="26.25" customHeight="1">
      <c r="A24" s="8">
        <f t="shared" si="1"/>
        <v>22</v>
      </c>
      <c r="B24" s="9">
        <v>45940.0</v>
      </c>
      <c r="C24" s="8" t="s">
        <v>36</v>
      </c>
      <c r="D24" s="8" t="s">
        <v>51</v>
      </c>
      <c r="E24" s="8" t="s">
        <v>52</v>
      </c>
      <c r="F24" s="8" t="s">
        <v>14</v>
      </c>
      <c r="G24" s="8" t="s">
        <v>14</v>
      </c>
      <c r="H24" s="8" t="s">
        <v>24</v>
      </c>
      <c r="I24" s="8">
        <v>17.0</v>
      </c>
      <c r="J24" s="8" t="s">
        <v>16</v>
      </c>
      <c r="K24" s="4"/>
      <c r="L24" s="4"/>
      <c r="M24" s="4"/>
      <c r="N24" s="4"/>
      <c r="O24" s="4"/>
      <c r="P24" s="4"/>
      <c r="Q24" s="4"/>
      <c r="R24" s="4"/>
      <c r="S24" s="4"/>
      <c r="T24" s="4"/>
      <c r="U24" s="4"/>
      <c r="V24" s="4"/>
      <c r="W24" s="4"/>
      <c r="X24" s="4"/>
      <c r="Y24" s="4"/>
    </row>
    <row r="25" ht="26.25" customHeight="1">
      <c r="A25" s="8">
        <f t="shared" si="1"/>
        <v>23</v>
      </c>
      <c r="B25" s="9">
        <v>45940.0</v>
      </c>
      <c r="C25" s="8" t="s">
        <v>36</v>
      </c>
      <c r="D25" s="8" t="s">
        <v>53</v>
      </c>
      <c r="E25" s="8" t="s">
        <v>52</v>
      </c>
      <c r="F25" s="8" t="s">
        <v>14</v>
      </c>
      <c r="G25" s="8" t="s">
        <v>14</v>
      </c>
      <c r="H25" s="8" t="s">
        <v>24</v>
      </c>
      <c r="I25" s="8">
        <v>17.0</v>
      </c>
      <c r="J25" s="8" t="s">
        <v>16</v>
      </c>
      <c r="K25" s="4"/>
      <c r="L25" s="4"/>
      <c r="M25" s="4"/>
      <c r="N25" s="4"/>
      <c r="O25" s="4"/>
      <c r="P25" s="4"/>
      <c r="Q25" s="4"/>
      <c r="R25" s="4"/>
      <c r="S25" s="4"/>
      <c r="T25" s="4"/>
      <c r="U25" s="4"/>
      <c r="V25" s="4"/>
      <c r="W25" s="4"/>
      <c r="X25" s="4"/>
      <c r="Y25" s="4"/>
    </row>
    <row r="26" ht="26.25" customHeight="1">
      <c r="A26" s="8">
        <f t="shared" si="1"/>
        <v>24</v>
      </c>
      <c r="B26" s="9">
        <v>45940.0</v>
      </c>
      <c r="C26" s="8" t="s">
        <v>36</v>
      </c>
      <c r="D26" s="8" t="s">
        <v>54</v>
      </c>
      <c r="E26" s="8" t="s">
        <v>55</v>
      </c>
      <c r="F26" s="8" t="s">
        <v>14</v>
      </c>
      <c r="G26" s="8" t="s">
        <v>14</v>
      </c>
      <c r="H26" s="8" t="s">
        <v>15</v>
      </c>
      <c r="I26" s="8">
        <v>13.0</v>
      </c>
      <c r="J26" s="8" t="s">
        <v>16</v>
      </c>
      <c r="K26" s="4"/>
      <c r="L26" s="4"/>
      <c r="M26" s="4"/>
      <c r="N26" s="4"/>
      <c r="O26" s="4"/>
      <c r="P26" s="4"/>
      <c r="Q26" s="4"/>
      <c r="R26" s="4"/>
      <c r="S26" s="4"/>
      <c r="T26" s="4"/>
      <c r="U26" s="4"/>
      <c r="V26" s="4"/>
      <c r="W26" s="4"/>
      <c r="X26" s="4"/>
      <c r="Y26" s="4"/>
    </row>
    <row r="27" ht="26.25" customHeight="1">
      <c r="A27" s="8">
        <f t="shared" si="1"/>
        <v>25</v>
      </c>
      <c r="B27" s="9">
        <v>45940.0</v>
      </c>
      <c r="C27" s="8" t="s">
        <v>36</v>
      </c>
      <c r="D27" s="8" t="s">
        <v>56</v>
      </c>
      <c r="E27" s="8" t="s">
        <v>55</v>
      </c>
      <c r="F27" s="8" t="s">
        <v>14</v>
      </c>
      <c r="G27" s="8" t="s">
        <v>14</v>
      </c>
      <c r="H27" s="8" t="s">
        <v>15</v>
      </c>
      <c r="I27" s="8">
        <v>4.0</v>
      </c>
      <c r="J27" s="8" t="s">
        <v>16</v>
      </c>
      <c r="K27" s="4"/>
      <c r="L27" s="4"/>
      <c r="M27" s="4"/>
      <c r="N27" s="4"/>
      <c r="O27" s="4"/>
      <c r="P27" s="4"/>
      <c r="Q27" s="4"/>
      <c r="R27" s="4"/>
      <c r="S27" s="4"/>
      <c r="T27" s="4"/>
      <c r="U27" s="4"/>
      <c r="V27" s="4"/>
      <c r="W27" s="4"/>
      <c r="X27" s="4"/>
      <c r="Y27" s="4"/>
    </row>
    <row r="28" ht="26.25" customHeight="1">
      <c r="A28" s="8">
        <f t="shared" si="1"/>
        <v>26</v>
      </c>
      <c r="B28" s="9">
        <v>45940.0</v>
      </c>
      <c r="C28" s="8" t="s">
        <v>36</v>
      </c>
      <c r="D28" s="8" t="s">
        <v>57</v>
      </c>
      <c r="E28" s="8" t="s">
        <v>55</v>
      </c>
      <c r="F28" s="8" t="s">
        <v>14</v>
      </c>
      <c r="G28" s="8" t="s">
        <v>14</v>
      </c>
      <c r="H28" s="8" t="s">
        <v>15</v>
      </c>
      <c r="I28" s="8">
        <v>4.0</v>
      </c>
      <c r="J28" s="8" t="s">
        <v>16</v>
      </c>
      <c r="K28" s="4"/>
      <c r="L28" s="4"/>
      <c r="M28" s="4"/>
      <c r="N28" s="4"/>
      <c r="O28" s="4"/>
      <c r="P28" s="4"/>
      <c r="Q28" s="4"/>
      <c r="R28" s="4"/>
      <c r="S28" s="4"/>
      <c r="T28" s="4"/>
      <c r="U28" s="4"/>
      <c r="V28" s="4"/>
      <c r="W28" s="4"/>
      <c r="X28" s="4"/>
      <c r="Y28" s="4"/>
    </row>
    <row r="29" ht="26.25" customHeight="1">
      <c r="A29" s="8">
        <f t="shared" si="1"/>
        <v>27</v>
      </c>
      <c r="B29" s="9">
        <v>45940.0</v>
      </c>
      <c r="C29" s="8" t="s">
        <v>36</v>
      </c>
      <c r="D29" s="8" t="s">
        <v>58</v>
      </c>
      <c r="E29" s="8" t="s">
        <v>55</v>
      </c>
      <c r="F29" s="8" t="s">
        <v>14</v>
      </c>
      <c r="G29" s="8" t="s">
        <v>14</v>
      </c>
      <c r="H29" s="8" t="s">
        <v>15</v>
      </c>
      <c r="I29" s="8">
        <v>1.0</v>
      </c>
      <c r="J29" s="8" t="s">
        <v>16</v>
      </c>
      <c r="K29" s="4"/>
      <c r="L29" s="4"/>
      <c r="M29" s="4"/>
      <c r="N29" s="4"/>
      <c r="O29" s="4"/>
      <c r="P29" s="4"/>
      <c r="Q29" s="4"/>
      <c r="R29" s="4"/>
      <c r="S29" s="4"/>
      <c r="T29" s="4"/>
      <c r="U29" s="4"/>
      <c r="V29" s="4"/>
      <c r="W29" s="4"/>
      <c r="X29" s="4"/>
      <c r="Y29" s="4"/>
    </row>
    <row r="30" ht="26.25" customHeight="1">
      <c r="A30" s="8">
        <f t="shared" si="1"/>
        <v>28</v>
      </c>
      <c r="B30" s="9">
        <v>45940.0</v>
      </c>
      <c r="C30" s="8" t="s">
        <v>36</v>
      </c>
      <c r="D30" s="8" t="s">
        <v>59</v>
      </c>
      <c r="E30" s="8" t="s">
        <v>60</v>
      </c>
      <c r="F30" s="8" t="s">
        <v>14</v>
      </c>
      <c r="G30" s="8" t="s">
        <v>23</v>
      </c>
      <c r="H30" s="8" t="s">
        <v>24</v>
      </c>
      <c r="I30" s="8">
        <v>39.0</v>
      </c>
      <c r="J30" s="8" t="s">
        <v>25</v>
      </c>
      <c r="K30" s="4"/>
      <c r="L30" s="4"/>
      <c r="M30" s="4"/>
      <c r="N30" s="4"/>
      <c r="O30" s="4"/>
      <c r="P30" s="4"/>
      <c r="Q30" s="4"/>
      <c r="R30" s="4"/>
      <c r="S30" s="4"/>
      <c r="T30" s="4"/>
      <c r="U30" s="4"/>
      <c r="V30" s="4"/>
      <c r="W30" s="4"/>
      <c r="X30" s="4"/>
      <c r="Y30" s="4"/>
    </row>
    <row r="31" ht="26.25" customHeight="1">
      <c r="A31" s="10">
        <f t="shared" si="1"/>
        <v>29</v>
      </c>
      <c r="B31" s="11">
        <v>45940.0</v>
      </c>
      <c r="C31" s="10" t="s">
        <v>36</v>
      </c>
      <c r="D31" s="10" t="s">
        <v>61</v>
      </c>
      <c r="E31" s="10" t="s">
        <v>60</v>
      </c>
      <c r="F31" s="10" t="b">
        <v>0</v>
      </c>
      <c r="G31" s="10" t="s">
        <v>23</v>
      </c>
      <c r="H31" s="10" t="s">
        <v>24</v>
      </c>
      <c r="I31" s="10">
        <v>21.0</v>
      </c>
      <c r="J31" s="10" t="s">
        <v>62</v>
      </c>
      <c r="K31" s="4"/>
      <c r="L31" s="4"/>
      <c r="M31" s="4"/>
      <c r="N31" s="4"/>
      <c r="O31" s="4"/>
      <c r="P31" s="4"/>
      <c r="Q31" s="4"/>
      <c r="R31" s="4"/>
      <c r="S31" s="4"/>
      <c r="T31" s="4"/>
      <c r="U31" s="4"/>
      <c r="V31" s="4"/>
      <c r="W31" s="4"/>
      <c r="X31" s="4"/>
      <c r="Y31" s="4"/>
    </row>
    <row r="32" ht="26.25" customHeight="1">
      <c r="A32" s="10">
        <f t="shared" si="1"/>
        <v>30</v>
      </c>
      <c r="B32" s="11">
        <v>45940.0</v>
      </c>
      <c r="C32" s="10" t="s">
        <v>36</v>
      </c>
      <c r="D32" s="10" t="s">
        <v>63</v>
      </c>
      <c r="E32" s="10" t="s">
        <v>64</v>
      </c>
      <c r="F32" s="10" t="b">
        <v>0</v>
      </c>
      <c r="G32" s="10" t="s">
        <v>23</v>
      </c>
      <c r="H32" s="10" t="s">
        <v>24</v>
      </c>
      <c r="I32" s="10">
        <v>35.0</v>
      </c>
      <c r="J32" s="10" t="s">
        <v>62</v>
      </c>
      <c r="K32" s="4"/>
      <c r="L32" s="4"/>
      <c r="M32" s="4"/>
      <c r="N32" s="4"/>
      <c r="O32" s="4"/>
      <c r="P32" s="4"/>
      <c r="Q32" s="4"/>
      <c r="R32" s="4"/>
      <c r="S32" s="4"/>
      <c r="T32" s="4"/>
      <c r="U32" s="4"/>
      <c r="V32" s="4"/>
      <c r="W32" s="4"/>
      <c r="X32" s="4"/>
      <c r="Y32" s="4"/>
    </row>
    <row r="33" ht="26.25" customHeight="1">
      <c r="A33" s="8">
        <f t="shared" si="1"/>
        <v>31</v>
      </c>
      <c r="B33" s="9">
        <v>45940.0</v>
      </c>
      <c r="C33" s="8" t="s">
        <v>36</v>
      </c>
      <c r="D33" s="8" t="s">
        <v>65</v>
      </c>
      <c r="E33" s="8" t="s">
        <v>47</v>
      </c>
      <c r="F33" s="8" t="s">
        <v>14</v>
      </c>
      <c r="G33" s="8" t="s">
        <v>14</v>
      </c>
      <c r="H33" s="8" t="s">
        <v>24</v>
      </c>
      <c r="I33" s="8">
        <v>44.0</v>
      </c>
      <c r="J33" s="8" t="s">
        <v>16</v>
      </c>
      <c r="K33" s="4"/>
      <c r="L33" s="4"/>
      <c r="M33" s="4"/>
      <c r="N33" s="4"/>
      <c r="O33" s="4"/>
      <c r="P33" s="4"/>
      <c r="Q33" s="4"/>
      <c r="R33" s="4"/>
      <c r="S33" s="4"/>
      <c r="T33" s="4"/>
      <c r="U33" s="4"/>
      <c r="V33" s="4"/>
      <c r="W33" s="4"/>
      <c r="X33" s="4"/>
      <c r="Y33" s="4"/>
    </row>
    <row r="34" ht="26.25" customHeight="1">
      <c r="A34" s="8">
        <f t="shared" si="1"/>
        <v>32</v>
      </c>
      <c r="B34" s="9">
        <v>45940.0</v>
      </c>
      <c r="C34" s="8" t="s">
        <v>36</v>
      </c>
      <c r="D34" s="8" t="s">
        <v>66</v>
      </c>
      <c r="E34" s="8" t="s">
        <v>67</v>
      </c>
      <c r="F34" s="8" t="s">
        <v>14</v>
      </c>
      <c r="G34" s="8" t="s">
        <v>14</v>
      </c>
      <c r="H34" s="8" t="s">
        <v>24</v>
      </c>
      <c r="I34" s="8">
        <v>11.0</v>
      </c>
      <c r="J34" s="8" t="s">
        <v>16</v>
      </c>
      <c r="K34" s="4"/>
      <c r="L34" s="4"/>
      <c r="M34" s="4"/>
      <c r="N34" s="4"/>
      <c r="O34" s="4"/>
      <c r="P34" s="4"/>
      <c r="Q34" s="4"/>
      <c r="R34" s="4"/>
      <c r="S34" s="4"/>
      <c r="T34" s="4"/>
      <c r="U34" s="4"/>
      <c r="V34" s="4"/>
      <c r="W34" s="4"/>
      <c r="X34" s="4"/>
      <c r="Y34" s="4"/>
    </row>
    <row r="35" ht="26.25" customHeight="1">
      <c r="A35" s="8">
        <f t="shared" si="1"/>
        <v>33</v>
      </c>
      <c r="B35" s="9">
        <v>45940.0</v>
      </c>
      <c r="C35" s="8" t="s">
        <v>36</v>
      </c>
      <c r="D35" s="8" t="s">
        <v>68</v>
      </c>
      <c r="E35" s="8" t="s">
        <v>69</v>
      </c>
      <c r="F35" s="8" t="s">
        <v>14</v>
      </c>
      <c r="G35" s="8" t="s">
        <v>14</v>
      </c>
      <c r="H35" s="8" t="s">
        <v>24</v>
      </c>
      <c r="I35" s="8">
        <v>28.0</v>
      </c>
      <c r="J35" s="8" t="s">
        <v>16</v>
      </c>
      <c r="K35" s="4"/>
      <c r="L35" s="4"/>
      <c r="M35" s="4"/>
      <c r="N35" s="4"/>
      <c r="O35" s="4"/>
      <c r="P35" s="4"/>
      <c r="Q35" s="4"/>
      <c r="R35" s="4"/>
      <c r="S35" s="4"/>
      <c r="T35" s="4"/>
      <c r="U35" s="4"/>
      <c r="V35" s="4"/>
      <c r="W35" s="4"/>
      <c r="X35" s="4"/>
      <c r="Y35" s="4"/>
    </row>
    <row r="36" ht="26.25" customHeight="1">
      <c r="A36" s="8">
        <f t="shared" si="1"/>
        <v>34</v>
      </c>
      <c r="B36" s="9">
        <v>45940.0</v>
      </c>
      <c r="C36" s="8" t="s">
        <v>36</v>
      </c>
      <c r="D36" s="8" t="s">
        <v>70</v>
      </c>
      <c r="E36" s="8" t="s">
        <v>71</v>
      </c>
      <c r="F36" s="8" t="s">
        <v>14</v>
      </c>
      <c r="G36" s="8" t="s">
        <v>14</v>
      </c>
      <c r="H36" s="8" t="s">
        <v>72</v>
      </c>
      <c r="I36" s="8" t="s">
        <v>73</v>
      </c>
      <c r="J36" s="8" t="s">
        <v>16</v>
      </c>
      <c r="K36" s="4"/>
      <c r="L36" s="4"/>
      <c r="M36" s="4"/>
      <c r="N36" s="4"/>
      <c r="O36" s="4"/>
      <c r="P36" s="4"/>
      <c r="Q36" s="4"/>
      <c r="R36" s="4"/>
      <c r="S36" s="4"/>
      <c r="T36" s="4"/>
      <c r="U36" s="4"/>
      <c r="V36" s="4"/>
      <c r="W36" s="4"/>
      <c r="X36" s="4"/>
      <c r="Y36" s="4"/>
    </row>
    <row r="37" ht="26.25" customHeight="1">
      <c r="A37" s="8">
        <f t="shared" si="1"/>
        <v>35</v>
      </c>
      <c r="B37" s="9">
        <v>45940.0</v>
      </c>
      <c r="C37" s="8" t="s">
        <v>36</v>
      </c>
      <c r="D37" s="8" t="s">
        <v>74</v>
      </c>
      <c r="E37" s="8" t="s">
        <v>75</v>
      </c>
      <c r="F37" s="8" t="s">
        <v>14</v>
      </c>
      <c r="G37" s="8" t="s">
        <v>14</v>
      </c>
      <c r="H37" s="8" t="s">
        <v>24</v>
      </c>
      <c r="I37" s="8">
        <v>64.0</v>
      </c>
      <c r="J37" s="8" t="s">
        <v>16</v>
      </c>
      <c r="K37" s="4"/>
      <c r="L37" s="4"/>
      <c r="M37" s="4"/>
      <c r="N37" s="4"/>
      <c r="O37" s="4"/>
      <c r="P37" s="4"/>
      <c r="Q37" s="4"/>
      <c r="R37" s="4"/>
      <c r="S37" s="4"/>
      <c r="T37" s="4"/>
      <c r="U37" s="4"/>
      <c r="V37" s="4"/>
      <c r="W37" s="4"/>
      <c r="X37" s="4"/>
      <c r="Y37" s="4"/>
    </row>
    <row r="38" ht="26.25" customHeight="1">
      <c r="A38" s="8">
        <f t="shared" si="1"/>
        <v>36</v>
      </c>
      <c r="B38" s="9">
        <v>45940.0</v>
      </c>
      <c r="C38" s="8" t="s">
        <v>36</v>
      </c>
      <c r="D38" s="8" t="s">
        <v>76</v>
      </c>
      <c r="E38" s="8" t="s">
        <v>77</v>
      </c>
      <c r="F38" s="8" t="s">
        <v>14</v>
      </c>
      <c r="G38" s="8" t="s">
        <v>14</v>
      </c>
      <c r="H38" s="8" t="s">
        <v>24</v>
      </c>
      <c r="I38" s="8">
        <v>40.0</v>
      </c>
      <c r="J38" s="8" t="s">
        <v>16</v>
      </c>
      <c r="K38" s="4"/>
      <c r="L38" s="4"/>
      <c r="M38" s="4"/>
      <c r="N38" s="4"/>
      <c r="O38" s="4"/>
      <c r="P38" s="4"/>
      <c r="Q38" s="4"/>
      <c r="R38" s="4"/>
      <c r="S38" s="4"/>
      <c r="T38" s="4"/>
      <c r="U38" s="4"/>
      <c r="V38" s="4"/>
      <c r="W38" s="4"/>
      <c r="X38" s="4"/>
      <c r="Y38" s="4"/>
    </row>
    <row r="39" ht="26.25" customHeight="1">
      <c r="A39" s="8">
        <f t="shared" si="1"/>
        <v>37</v>
      </c>
      <c r="B39" s="9">
        <v>45940.0</v>
      </c>
      <c r="C39" s="8" t="s">
        <v>36</v>
      </c>
      <c r="D39" s="8" t="s">
        <v>78</v>
      </c>
      <c r="E39" s="8" t="s">
        <v>79</v>
      </c>
      <c r="F39" s="8" t="s">
        <v>14</v>
      </c>
      <c r="G39" s="8" t="s">
        <v>23</v>
      </c>
      <c r="H39" s="8" t="s">
        <v>24</v>
      </c>
      <c r="I39" s="8">
        <v>88.0</v>
      </c>
      <c r="J39" s="8" t="s">
        <v>25</v>
      </c>
      <c r="K39" s="4"/>
      <c r="L39" s="4"/>
      <c r="M39" s="4"/>
      <c r="N39" s="4"/>
      <c r="O39" s="4"/>
      <c r="P39" s="4"/>
      <c r="Q39" s="4"/>
      <c r="R39" s="4"/>
      <c r="S39" s="4"/>
      <c r="T39" s="4"/>
      <c r="U39" s="4"/>
      <c r="V39" s="4"/>
      <c r="W39" s="4"/>
      <c r="X39" s="4"/>
      <c r="Y39" s="4"/>
    </row>
    <row r="40" ht="26.25" customHeight="1">
      <c r="A40" s="8">
        <f t="shared" si="1"/>
        <v>38</v>
      </c>
      <c r="B40" s="9">
        <v>45940.0</v>
      </c>
      <c r="C40" s="8" t="s">
        <v>36</v>
      </c>
      <c r="D40" s="8" t="s">
        <v>80</v>
      </c>
      <c r="E40" s="8" t="s">
        <v>81</v>
      </c>
      <c r="F40" s="8" t="s">
        <v>14</v>
      </c>
      <c r="G40" s="8" t="s">
        <v>14</v>
      </c>
      <c r="H40" s="8" t="s">
        <v>24</v>
      </c>
      <c r="I40" s="8">
        <v>77.0</v>
      </c>
      <c r="J40" s="8" t="s">
        <v>16</v>
      </c>
      <c r="K40" s="4"/>
      <c r="L40" s="4"/>
      <c r="M40" s="4"/>
      <c r="N40" s="4"/>
      <c r="O40" s="4"/>
      <c r="P40" s="4"/>
      <c r="Q40" s="4"/>
      <c r="R40" s="4"/>
      <c r="S40" s="4"/>
      <c r="T40" s="4"/>
      <c r="U40" s="4"/>
      <c r="V40" s="4"/>
      <c r="W40" s="4"/>
      <c r="X40" s="4"/>
      <c r="Y40" s="4"/>
    </row>
    <row r="41" ht="26.25" customHeight="1">
      <c r="A41" s="8">
        <f t="shared" si="1"/>
        <v>39</v>
      </c>
      <c r="B41" s="9">
        <v>45940.0</v>
      </c>
      <c r="C41" s="8" t="s">
        <v>36</v>
      </c>
      <c r="D41" s="8" t="s">
        <v>82</v>
      </c>
      <c r="E41" s="8" t="s">
        <v>83</v>
      </c>
      <c r="F41" s="8" t="s">
        <v>14</v>
      </c>
      <c r="G41" s="8" t="s">
        <v>14</v>
      </c>
      <c r="H41" s="8" t="s">
        <v>24</v>
      </c>
      <c r="I41" s="8">
        <v>32.0</v>
      </c>
      <c r="J41" s="8" t="s">
        <v>16</v>
      </c>
      <c r="K41" s="4"/>
      <c r="L41" s="4"/>
      <c r="M41" s="4"/>
      <c r="N41" s="4"/>
      <c r="O41" s="4"/>
      <c r="P41" s="4"/>
      <c r="Q41" s="4"/>
      <c r="R41" s="4"/>
      <c r="S41" s="4"/>
      <c r="T41" s="4"/>
      <c r="U41" s="4"/>
      <c r="V41" s="4"/>
      <c r="W41" s="4"/>
      <c r="X41" s="4"/>
      <c r="Y41" s="4"/>
    </row>
    <row r="42" ht="26.25" customHeight="1">
      <c r="A42" s="8">
        <f t="shared" si="1"/>
        <v>40</v>
      </c>
      <c r="B42" s="9">
        <v>45940.0</v>
      </c>
      <c r="C42" s="8" t="s">
        <v>36</v>
      </c>
      <c r="D42" s="8" t="s">
        <v>84</v>
      </c>
      <c r="E42" s="8" t="s">
        <v>83</v>
      </c>
      <c r="F42" s="8" t="s">
        <v>14</v>
      </c>
      <c r="G42" s="8" t="s">
        <v>14</v>
      </c>
      <c r="H42" s="8" t="s">
        <v>24</v>
      </c>
      <c r="I42" s="8">
        <v>19.0</v>
      </c>
      <c r="J42" s="8" t="s">
        <v>16</v>
      </c>
      <c r="K42" s="4"/>
      <c r="L42" s="4"/>
      <c r="M42" s="4"/>
      <c r="N42" s="4"/>
      <c r="O42" s="4"/>
      <c r="P42" s="4"/>
      <c r="Q42" s="4"/>
      <c r="R42" s="4"/>
      <c r="S42" s="4"/>
      <c r="T42" s="4"/>
      <c r="U42" s="4"/>
      <c r="V42" s="4"/>
      <c r="W42" s="4"/>
      <c r="X42" s="4"/>
      <c r="Y42" s="4"/>
    </row>
    <row r="43" ht="26.25" customHeight="1">
      <c r="A43" s="8">
        <f t="shared" si="1"/>
        <v>41</v>
      </c>
      <c r="B43" s="9">
        <v>45940.0</v>
      </c>
      <c r="C43" s="8" t="s">
        <v>36</v>
      </c>
      <c r="D43" s="8" t="s">
        <v>85</v>
      </c>
      <c r="E43" s="8" t="s">
        <v>55</v>
      </c>
      <c r="F43" s="8" t="s">
        <v>14</v>
      </c>
      <c r="G43" s="8" t="s">
        <v>14</v>
      </c>
      <c r="H43" s="8" t="s">
        <v>24</v>
      </c>
      <c r="I43" s="8">
        <v>60.0</v>
      </c>
      <c r="J43" s="8" t="s">
        <v>16</v>
      </c>
      <c r="K43" s="4"/>
      <c r="L43" s="4"/>
      <c r="M43" s="4"/>
      <c r="N43" s="4"/>
      <c r="O43" s="4"/>
      <c r="P43" s="4"/>
      <c r="Q43" s="4"/>
      <c r="R43" s="4"/>
      <c r="S43" s="4"/>
      <c r="T43" s="4"/>
      <c r="U43" s="4"/>
      <c r="V43" s="4"/>
      <c r="W43" s="4"/>
      <c r="X43" s="4"/>
      <c r="Y43" s="4"/>
    </row>
    <row r="44" ht="26.25" customHeight="1">
      <c r="A44" s="10">
        <f t="shared" si="1"/>
        <v>42</v>
      </c>
      <c r="B44" s="11">
        <v>45940.0</v>
      </c>
      <c r="C44" s="10" t="s">
        <v>36</v>
      </c>
      <c r="D44" s="10" t="s">
        <v>86</v>
      </c>
      <c r="E44" s="10" t="s">
        <v>87</v>
      </c>
      <c r="F44" s="10" t="b">
        <v>0</v>
      </c>
      <c r="G44" s="10" t="s">
        <v>23</v>
      </c>
      <c r="H44" s="10" t="s">
        <v>24</v>
      </c>
      <c r="I44" s="10">
        <v>22.0</v>
      </c>
      <c r="J44" s="10" t="s">
        <v>62</v>
      </c>
      <c r="K44" s="4"/>
      <c r="L44" s="4"/>
      <c r="M44" s="4"/>
      <c r="N44" s="4"/>
      <c r="O44" s="4"/>
      <c r="P44" s="4"/>
      <c r="Q44" s="4"/>
      <c r="R44" s="4"/>
      <c r="S44" s="4"/>
      <c r="T44" s="4"/>
      <c r="U44" s="4"/>
      <c r="V44" s="4"/>
      <c r="W44" s="4"/>
      <c r="X44" s="4"/>
      <c r="Y44" s="4"/>
    </row>
    <row r="45" ht="26.25" customHeight="1">
      <c r="A45" s="10">
        <f t="shared" si="1"/>
        <v>43</v>
      </c>
      <c r="B45" s="11">
        <v>45940.0</v>
      </c>
      <c r="C45" s="10" t="s">
        <v>36</v>
      </c>
      <c r="D45" s="10" t="s">
        <v>88</v>
      </c>
      <c r="E45" s="10" t="s">
        <v>87</v>
      </c>
      <c r="F45" s="10" t="b">
        <v>0</v>
      </c>
      <c r="G45" s="10" t="s">
        <v>23</v>
      </c>
      <c r="H45" s="10" t="s">
        <v>24</v>
      </c>
      <c r="I45" s="10">
        <v>36.0</v>
      </c>
      <c r="J45" s="10" t="s">
        <v>62</v>
      </c>
      <c r="K45" s="4"/>
      <c r="L45" s="4"/>
      <c r="M45" s="4"/>
      <c r="N45" s="4"/>
      <c r="O45" s="4"/>
      <c r="P45" s="4"/>
      <c r="Q45" s="4"/>
      <c r="R45" s="4"/>
      <c r="S45" s="4"/>
      <c r="T45" s="4"/>
      <c r="U45" s="4"/>
      <c r="V45" s="4"/>
      <c r="W45" s="4"/>
      <c r="X45" s="4"/>
      <c r="Y45" s="4"/>
    </row>
    <row r="46" ht="26.25" customHeight="1">
      <c r="A46" s="8">
        <f t="shared" si="1"/>
        <v>44</v>
      </c>
      <c r="B46" s="9">
        <v>45940.0</v>
      </c>
      <c r="C46" s="8" t="s">
        <v>36</v>
      </c>
      <c r="D46" s="8" t="s">
        <v>89</v>
      </c>
      <c r="E46" s="8" t="s">
        <v>87</v>
      </c>
      <c r="F46" s="8" t="s">
        <v>14</v>
      </c>
      <c r="G46" s="8" t="s">
        <v>14</v>
      </c>
      <c r="H46" s="8" t="s">
        <v>24</v>
      </c>
      <c r="I46" s="8">
        <v>36.0</v>
      </c>
      <c r="J46" s="8" t="s">
        <v>16</v>
      </c>
      <c r="K46" s="4"/>
      <c r="L46" s="4"/>
      <c r="M46" s="4"/>
      <c r="N46" s="4"/>
      <c r="O46" s="4"/>
      <c r="P46" s="4"/>
      <c r="Q46" s="4"/>
      <c r="R46" s="4"/>
      <c r="S46" s="4"/>
      <c r="T46" s="4"/>
      <c r="U46" s="4"/>
      <c r="V46" s="4"/>
      <c r="W46" s="4"/>
      <c r="X46" s="4"/>
      <c r="Y46" s="4"/>
    </row>
    <row r="47" ht="26.25" customHeight="1">
      <c r="A47" s="8">
        <f t="shared" si="1"/>
        <v>45</v>
      </c>
      <c r="B47" s="9">
        <v>45940.0</v>
      </c>
      <c r="C47" s="8" t="s">
        <v>11</v>
      </c>
      <c r="D47" s="8" t="s">
        <v>90</v>
      </c>
      <c r="E47" s="8" t="s">
        <v>22</v>
      </c>
      <c r="F47" s="8" t="s">
        <v>14</v>
      </c>
      <c r="G47" s="8" t="s">
        <v>14</v>
      </c>
      <c r="H47" s="8" t="s">
        <v>15</v>
      </c>
      <c r="I47" s="8">
        <v>1.0</v>
      </c>
      <c r="J47" s="12" t="s">
        <v>16</v>
      </c>
      <c r="K47" s="4"/>
      <c r="L47" s="4"/>
      <c r="M47" s="4"/>
      <c r="N47" s="4"/>
      <c r="O47" s="4"/>
      <c r="P47" s="4"/>
      <c r="Q47" s="4"/>
      <c r="R47" s="4"/>
      <c r="S47" s="4"/>
      <c r="T47" s="4"/>
      <c r="U47" s="4"/>
      <c r="V47" s="4"/>
      <c r="W47" s="4"/>
      <c r="X47" s="4"/>
      <c r="Y47" s="4"/>
    </row>
    <row r="48" ht="26.25" customHeight="1">
      <c r="A48" s="10">
        <f t="shared" si="1"/>
        <v>46</v>
      </c>
      <c r="B48" s="11">
        <v>45943.0</v>
      </c>
      <c r="C48" s="10" t="s">
        <v>36</v>
      </c>
      <c r="D48" s="10" t="s">
        <v>91</v>
      </c>
      <c r="E48" s="10" t="s">
        <v>47</v>
      </c>
      <c r="F48" s="10" t="s">
        <v>14</v>
      </c>
      <c r="G48" s="10" t="s">
        <v>14</v>
      </c>
      <c r="H48" s="10" t="s">
        <v>24</v>
      </c>
      <c r="I48" s="10">
        <v>42.0</v>
      </c>
      <c r="J48" s="10" t="s">
        <v>62</v>
      </c>
      <c r="K48" s="4"/>
      <c r="L48" s="4"/>
      <c r="M48" s="4"/>
      <c r="N48" s="4"/>
      <c r="O48" s="4"/>
      <c r="P48" s="4"/>
      <c r="Q48" s="4"/>
      <c r="R48" s="4"/>
      <c r="S48" s="4"/>
      <c r="T48" s="4"/>
      <c r="U48" s="4"/>
      <c r="V48" s="4"/>
      <c r="W48" s="4"/>
      <c r="X48" s="4"/>
      <c r="Y48" s="4"/>
    </row>
    <row r="49" ht="26.25" customHeight="1">
      <c r="A49" s="8">
        <f t="shared" si="1"/>
        <v>47</v>
      </c>
      <c r="B49" s="9">
        <v>45943.0</v>
      </c>
      <c r="C49" s="8" t="s">
        <v>11</v>
      </c>
      <c r="D49" s="8" t="s">
        <v>92</v>
      </c>
      <c r="E49" s="8" t="s">
        <v>93</v>
      </c>
      <c r="F49" s="8" t="s">
        <v>14</v>
      </c>
      <c r="G49" s="8" t="s">
        <v>14</v>
      </c>
      <c r="H49" s="8" t="s">
        <v>24</v>
      </c>
      <c r="I49" s="8">
        <v>47.0</v>
      </c>
      <c r="J49" s="8" t="s">
        <v>16</v>
      </c>
      <c r="K49" s="4"/>
      <c r="L49" s="4"/>
      <c r="M49" s="4"/>
      <c r="N49" s="4"/>
      <c r="O49" s="4"/>
      <c r="P49" s="4"/>
      <c r="Q49" s="4"/>
      <c r="R49" s="4"/>
      <c r="S49" s="4"/>
      <c r="T49" s="4"/>
      <c r="U49" s="4"/>
      <c r="V49" s="4"/>
      <c r="W49" s="4"/>
      <c r="X49" s="4"/>
      <c r="Y49" s="4"/>
    </row>
    <row r="50" ht="26.25" customHeight="1">
      <c r="A50" s="8">
        <f t="shared" si="1"/>
        <v>48</v>
      </c>
      <c r="B50" s="9">
        <v>45943.0</v>
      </c>
      <c r="C50" s="8" t="s">
        <v>36</v>
      </c>
      <c r="D50" s="8" t="s">
        <v>94</v>
      </c>
      <c r="E50" s="8" t="s">
        <v>40</v>
      </c>
      <c r="F50" s="8" t="s">
        <v>14</v>
      </c>
      <c r="G50" s="8" t="s">
        <v>14</v>
      </c>
      <c r="H50" s="8" t="s">
        <v>24</v>
      </c>
      <c r="I50" s="8">
        <v>17.0</v>
      </c>
      <c r="J50" s="8" t="s">
        <v>16</v>
      </c>
      <c r="K50" s="4"/>
      <c r="L50" s="4"/>
      <c r="M50" s="4"/>
      <c r="N50" s="4"/>
      <c r="O50" s="4"/>
      <c r="P50" s="4"/>
      <c r="Q50" s="4"/>
      <c r="R50" s="4"/>
      <c r="S50" s="4"/>
      <c r="T50" s="4"/>
      <c r="U50" s="4"/>
      <c r="V50" s="4"/>
      <c r="W50" s="4"/>
      <c r="X50" s="4"/>
      <c r="Y50" s="4"/>
    </row>
    <row r="51" ht="26.25" customHeight="1">
      <c r="A51" s="8">
        <f t="shared" si="1"/>
        <v>49</v>
      </c>
      <c r="B51" s="9">
        <v>45943.0</v>
      </c>
      <c r="C51" s="8" t="s">
        <v>36</v>
      </c>
      <c r="D51" s="8" t="s">
        <v>95</v>
      </c>
      <c r="E51" s="8" t="s">
        <v>40</v>
      </c>
      <c r="F51" s="8" t="s">
        <v>14</v>
      </c>
      <c r="G51" s="8" t="s">
        <v>14</v>
      </c>
      <c r="H51" s="8" t="s">
        <v>24</v>
      </c>
      <c r="I51" s="8">
        <v>17.0</v>
      </c>
      <c r="J51" s="8" t="s">
        <v>16</v>
      </c>
      <c r="K51" s="4"/>
      <c r="L51" s="4"/>
      <c r="M51" s="4"/>
      <c r="N51" s="4"/>
      <c r="O51" s="4"/>
      <c r="P51" s="4"/>
      <c r="Q51" s="4"/>
      <c r="R51" s="4"/>
      <c r="S51" s="4"/>
      <c r="T51" s="4"/>
      <c r="U51" s="4"/>
      <c r="V51" s="4"/>
      <c r="W51" s="4"/>
      <c r="X51" s="4"/>
      <c r="Y51" s="4"/>
    </row>
    <row r="52" ht="26.25" customHeight="1">
      <c r="A52" s="8">
        <f t="shared" si="1"/>
        <v>50</v>
      </c>
      <c r="B52" s="9">
        <v>45943.0</v>
      </c>
      <c r="C52" s="8" t="s">
        <v>11</v>
      </c>
      <c r="D52" s="8" t="s">
        <v>96</v>
      </c>
      <c r="E52" s="8" t="s">
        <v>97</v>
      </c>
      <c r="F52" s="8" t="s">
        <v>14</v>
      </c>
      <c r="G52" s="8" t="s">
        <v>14</v>
      </c>
      <c r="H52" s="8" t="s">
        <v>24</v>
      </c>
      <c r="I52" s="8">
        <v>65.0</v>
      </c>
      <c r="J52" s="8" t="s">
        <v>16</v>
      </c>
      <c r="K52" s="4"/>
      <c r="L52" s="4"/>
      <c r="M52" s="4"/>
      <c r="N52" s="4"/>
      <c r="O52" s="4"/>
      <c r="P52" s="4"/>
      <c r="Q52" s="4"/>
      <c r="R52" s="4"/>
      <c r="S52" s="4"/>
      <c r="T52" s="4"/>
      <c r="U52" s="4"/>
      <c r="V52" s="4"/>
      <c r="W52" s="4"/>
      <c r="X52" s="4"/>
      <c r="Y52" s="4"/>
    </row>
    <row r="53" ht="26.25" customHeight="1">
      <c r="A53" s="10">
        <f t="shared" si="1"/>
        <v>51</v>
      </c>
      <c r="B53" s="11">
        <v>45943.0</v>
      </c>
      <c r="C53" s="10" t="s">
        <v>11</v>
      </c>
      <c r="D53" s="10" t="s">
        <v>98</v>
      </c>
      <c r="E53" s="10" t="s">
        <v>99</v>
      </c>
      <c r="F53" s="10" t="b">
        <v>0</v>
      </c>
      <c r="G53" s="10" t="s">
        <v>23</v>
      </c>
      <c r="H53" s="10" t="s">
        <v>24</v>
      </c>
      <c r="I53" s="10">
        <v>84.0</v>
      </c>
      <c r="J53" s="10" t="s">
        <v>62</v>
      </c>
      <c r="K53" s="4"/>
      <c r="L53" s="4"/>
      <c r="M53" s="4"/>
      <c r="N53" s="4"/>
      <c r="O53" s="4"/>
      <c r="P53" s="4"/>
      <c r="Q53" s="4"/>
      <c r="R53" s="4"/>
      <c r="S53" s="4"/>
      <c r="T53" s="4"/>
      <c r="U53" s="4"/>
      <c r="V53" s="4"/>
      <c r="W53" s="4"/>
      <c r="X53" s="4"/>
      <c r="Y53" s="4"/>
    </row>
    <row r="54" ht="26.25" customHeight="1">
      <c r="A54" s="8">
        <f t="shared" si="1"/>
        <v>52</v>
      </c>
      <c r="B54" s="9">
        <v>45943.0</v>
      </c>
      <c r="C54" s="8" t="s">
        <v>11</v>
      </c>
      <c r="D54" s="8" t="s">
        <v>100</v>
      </c>
      <c r="E54" s="8" t="s">
        <v>101</v>
      </c>
      <c r="F54" s="8" t="s">
        <v>14</v>
      </c>
      <c r="G54" s="8" t="s">
        <v>14</v>
      </c>
      <c r="H54" s="8" t="s">
        <v>15</v>
      </c>
      <c r="I54" s="8">
        <v>25.0</v>
      </c>
      <c r="J54" s="8" t="s">
        <v>16</v>
      </c>
      <c r="K54" s="4"/>
      <c r="L54" s="4"/>
      <c r="M54" s="4"/>
      <c r="N54" s="4"/>
      <c r="O54" s="4"/>
      <c r="P54" s="4"/>
      <c r="Q54" s="4"/>
      <c r="R54" s="4"/>
      <c r="S54" s="4"/>
      <c r="T54" s="4"/>
      <c r="U54" s="4"/>
      <c r="V54" s="4"/>
      <c r="W54" s="4"/>
      <c r="X54" s="4"/>
      <c r="Y54" s="4"/>
    </row>
    <row r="55" ht="26.25" customHeight="1">
      <c r="A55" s="8">
        <f t="shared" si="1"/>
        <v>53</v>
      </c>
      <c r="B55" s="9">
        <v>45943.0</v>
      </c>
      <c r="C55" s="8" t="s">
        <v>11</v>
      </c>
      <c r="D55" s="8" t="s">
        <v>102</v>
      </c>
      <c r="E55" s="8" t="s">
        <v>22</v>
      </c>
      <c r="F55" s="8" t="s">
        <v>14</v>
      </c>
      <c r="G55" s="8" t="s">
        <v>14</v>
      </c>
      <c r="H55" s="8" t="s">
        <v>15</v>
      </c>
      <c r="I55" s="8">
        <v>16.0</v>
      </c>
      <c r="J55" s="8" t="s">
        <v>16</v>
      </c>
      <c r="K55" s="4"/>
      <c r="L55" s="4"/>
      <c r="M55" s="4"/>
      <c r="N55" s="4"/>
      <c r="O55" s="4"/>
      <c r="P55" s="4"/>
      <c r="Q55" s="4"/>
      <c r="R55" s="4"/>
      <c r="S55" s="4"/>
      <c r="T55" s="4"/>
      <c r="U55" s="4"/>
      <c r="V55" s="4"/>
      <c r="W55" s="4"/>
      <c r="X55" s="4"/>
      <c r="Y55" s="4"/>
    </row>
    <row r="56" ht="26.25" customHeight="1">
      <c r="A56" s="8">
        <f t="shared" si="1"/>
        <v>54</v>
      </c>
      <c r="B56" s="9">
        <v>45943.0</v>
      </c>
      <c r="C56" s="8" t="s">
        <v>11</v>
      </c>
      <c r="D56" s="8" t="s">
        <v>103</v>
      </c>
      <c r="E56" s="8" t="s">
        <v>104</v>
      </c>
      <c r="F56" s="8" t="s">
        <v>14</v>
      </c>
      <c r="G56" s="8" t="s">
        <v>14</v>
      </c>
      <c r="H56" s="8" t="s">
        <v>24</v>
      </c>
      <c r="I56" s="8">
        <v>48.0</v>
      </c>
      <c r="J56" s="8" t="s">
        <v>16</v>
      </c>
      <c r="K56" s="4"/>
      <c r="L56" s="4"/>
      <c r="M56" s="4"/>
      <c r="N56" s="4"/>
      <c r="O56" s="4"/>
      <c r="P56" s="4"/>
      <c r="Q56" s="4"/>
      <c r="R56" s="4"/>
      <c r="S56" s="4"/>
      <c r="T56" s="4"/>
      <c r="U56" s="4"/>
      <c r="V56" s="4"/>
      <c r="W56" s="4"/>
      <c r="X56" s="4"/>
      <c r="Y56" s="4"/>
    </row>
    <row r="57" ht="26.25" customHeight="1">
      <c r="A57" s="8">
        <f t="shared" si="1"/>
        <v>55</v>
      </c>
      <c r="B57" s="9">
        <v>45943.0</v>
      </c>
      <c r="C57" s="8" t="s">
        <v>36</v>
      </c>
      <c r="D57" s="8" t="s">
        <v>105</v>
      </c>
      <c r="E57" s="8" t="s">
        <v>55</v>
      </c>
      <c r="F57" s="8" t="s">
        <v>14</v>
      </c>
      <c r="G57" s="8" t="s">
        <v>14</v>
      </c>
      <c r="H57" s="8" t="s">
        <v>15</v>
      </c>
      <c r="I57" s="8">
        <v>13.0</v>
      </c>
      <c r="J57" s="8" t="s">
        <v>16</v>
      </c>
      <c r="K57" s="4"/>
      <c r="L57" s="4"/>
      <c r="M57" s="4"/>
      <c r="N57" s="4"/>
      <c r="O57" s="4"/>
      <c r="P57" s="4"/>
      <c r="Q57" s="4"/>
      <c r="R57" s="4"/>
      <c r="S57" s="4"/>
      <c r="T57" s="4"/>
      <c r="U57" s="4"/>
      <c r="V57" s="4"/>
      <c r="W57" s="4"/>
      <c r="X57" s="4"/>
      <c r="Y57" s="4"/>
    </row>
    <row r="58" ht="26.25" customHeight="1">
      <c r="A58" s="8">
        <f t="shared" si="1"/>
        <v>56</v>
      </c>
      <c r="B58" s="9">
        <v>45943.0</v>
      </c>
      <c r="C58" s="8" t="s">
        <v>36</v>
      </c>
      <c r="D58" s="8" t="s">
        <v>106</v>
      </c>
      <c r="E58" s="8" t="s">
        <v>107</v>
      </c>
      <c r="F58" s="8" t="s">
        <v>14</v>
      </c>
      <c r="G58" s="8" t="s">
        <v>23</v>
      </c>
      <c r="H58" s="8" t="s">
        <v>24</v>
      </c>
      <c r="I58" s="8">
        <v>70.0</v>
      </c>
      <c r="J58" s="8" t="s">
        <v>25</v>
      </c>
      <c r="K58" s="4"/>
      <c r="L58" s="4"/>
      <c r="M58" s="4"/>
      <c r="N58" s="4"/>
      <c r="O58" s="4"/>
      <c r="P58" s="4"/>
      <c r="Q58" s="4"/>
      <c r="R58" s="4"/>
      <c r="S58" s="4"/>
      <c r="T58" s="4"/>
      <c r="U58" s="4"/>
      <c r="V58" s="4"/>
      <c r="W58" s="4"/>
      <c r="X58" s="4"/>
      <c r="Y58" s="4"/>
    </row>
    <row r="59" ht="26.25" customHeight="1">
      <c r="A59" s="8">
        <f t="shared" si="1"/>
        <v>57</v>
      </c>
      <c r="B59" s="9">
        <v>45943.0</v>
      </c>
      <c r="C59" s="8" t="s">
        <v>36</v>
      </c>
      <c r="D59" s="8" t="s">
        <v>108</v>
      </c>
      <c r="E59" s="8" t="s">
        <v>109</v>
      </c>
      <c r="F59" s="8" t="s">
        <v>14</v>
      </c>
      <c r="G59" s="8" t="s">
        <v>14</v>
      </c>
      <c r="H59" s="8" t="s">
        <v>72</v>
      </c>
      <c r="I59" s="8" t="s">
        <v>73</v>
      </c>
      <c r="J59" s="8" t="s">
        <v>16</v>
      </c>
      <c r="K59" s="4"/>
      <c r="L59" s="4"/>
      <c r="M59" s="4"/>
      <c r="N59" s="4"/>
      <c r="O59" s="4"/>
      <c r="P59" s="4"/>
      <c r="Q59" s="4"/>
      <c r="R59" s="4"/>
      <c r="S59" s="4"/>
      <c r="T59" s="4"/>
      <c r="U59" s="4"/>
      <c r="V59" s="4"/>
      <c r="W59" s="4"/>
      <c r="X59" s="4"/>
      <c r="Y59" s="4"/>
    </row>
    <row r="60" ht="26.25" customHeight="1">
      <c r="A60" s="8">
        <f t="shared" si="1"/>
        <v>58</v>
      </c>
      <c r="B60" s="9">
        <v>45943.0</v>
      </c>
      <c r="C60" s="8" t="s">
        <v>36</v>
      </c>
      <c r="D60" s="8" t="s">
        <v>110</v>
      </c>
      <c r="E60" s="8" t="s">
        <v>99</v>
      </c>
      <c r="F60" s="8" t="s">
        <v>14</v>
      </c>
      <c r="G60" s="8" t="s">
        <v>23</v>
      </c>
      <c r="H60" s="8" t="s">
        <v>24</v>
      </c>
      <c r="I60" s="8">
        <v>64.0</v>
      </c>
      <c r="J60" s="8" t="s">
        <v>25</v>
      </c>
      <c r="K60" s="4"/>
      <c r="L60" s="4"/>
      <c r="M60" s="4"/>
      <c r="N60" s="4"/>
      <c r="O60" s="4"/>
      <c r="P60" s="4"/>
      <c r="Q60" s="4"/>
      <c r="R60" s="4"/>
      <c r="S60" s="4"/>
      <c r="T60" s="4"/>
      <c r="U60" s="4"/>
      <c r="V60" s="4"/>
      <c r="W60" s="4"/>
      <c r="X60" s="4"/>
      <c r="Y60" s="4"/>
    </row>
    <row r="61" ht="26.25" customHeight="1">
      <c r="A61" s="8">
        <f t="shared" si="1"/>
        <v>59</v>
      </c>
      <c r="B61" s="9">
        <v>45943.0</v>
      </c>
      <c r="C61" s="8" t="s">
        <v>36</v>
      </c>
      <c r="D61" s="8" t="s">
        <v>111</v>
      </c>
      <c r="E61" s="8" t="s">
        <v>112</v>
      </c>
      <c r="F61" s="8" t="s">
        <v>14</v>
      </c>
      <c r="G61" s="8" t="s">
        <v>14</v>
      </c>
      <c r="H61" s="8" t="s">
        <v>24</v>
      </c>
      <c r="I61" s="8">
        <v>64.0</v>
      </c>
      <c r="J61" s="8" t="s">
        <v>16</v>
      </c>
      <c r="K61" s="4"/>
      <c r="L61" s="4"/>
      <c r="M61" s="4"/>
      <c r="N61" s="4"/>
      <c r="O61" s="4"/>
      <c r="P61" s="4"/>
      <c r="Q61" s="4"/>
      <c r="R61" s="4"/>
      <c r="S61" s="4"/>
      <c r="T61" s="4"/>
      <c r="U61" s="4"/>
      <c r="V61" s="4"/>
      <c r="W61" s="4"/>
      <c r="X61" s="4"/>
      <c r="Y61" s="4"/>
    </row>
    <row r="62" ht="26.25" customHeight="1">
      <c r="A62" s="8">
        <f t="shared" si="1"/>
        <v>60</v>
      </c>
      <c r="B62" s="9">
        <v>45943.0</v>
      </c>
      <c r="C62" s="8" t="s">
        <v>36</v>
      </c>
      <c r="D62" s="8" t="s">
        <v>113</v>
      </c>
      <c r="E62" s="8" t="s">
        <v>112</v>
      </c>
      <c r="F62" s="8" t="s">
        <v>14</v>
      </c>
      <c r="G62" s="8" t="s">
        <v>14</v>
      </c>
      <c r="H62" s="8" t="s">
        <v>24</v>
      </c>
      <c r="I62" s="8">
        <v>64.0</v>
      </c>
      <c r="J62" s="8" t="s">
        <v>16</v>
      </c>
      <c r="K62" s="4"/>
      <c r="L62" s="4"/>
      <c r="M62" s="4"/>
      <c r="N62" s="4"/>
      <c r="O62" s="4"/>
      <c r="P62" s="4"/>
      <c r="Q62" s="4"/>
      <c r="R62" s="4"/>
      <c r="S62" s="4"/>
      <c r="T62" s="4"/>
      <c r="U62" s="4"/>
      <c r="V62" s="4"/>
      <c r="W62" s="4"/>
      <c r="X62" s="4"/>
      <c r="Y62" s="4"/>
    </row>
    <row r="63" ht="26.25" customHeight="1">
      <c r="A63" s="8">
        <f t="shared" si="1"/>
        <v>61</v>
      </c>
      <c r="B63" s="9">
        <v>45944.0</v>
      </c>
      <c r="C63" s="8" t="s">
        <v>36</v>
      </c>
      <c r="D63" s="8" t="s">
        <v>114</v>
      </c>
      <c r="E63" s="8" t="s">
        <v>115</v>
      </c>
      <c r="F63" s="8" t="s">
        <v>14</v>
      </c>
      <c r="G63" s="8" t="s">
        <v>14</v>
      </c>
      <c r="H63" s="8" t="s">
        <v>24</v>
      </c>
      <c r="I63" s="8">
        <v>17.0</v>
      </c>
      <c r="J63" s="8" t="s">
        <v>116</v>
      </c>
      <c r="K63" s="4"/>
      <c r="L63" s="4"/>
      <c r="M63" s="4"/>
      <c r="N63" s="4"/>
      <c r="O63" s="4"/>
      <c r="P63" s="4"/>
      <c r="Q63" s="4"/>
      <c r="R63" s="4"/>
      <c r="S63" s="4"/>
      <c r="T63" s="4"/>
      <c r="U63" s="4"/>
      <c r="V63" s="4"/>
      <c r="W63" s="4"/>
      <c r="X63" s="4"/>
      <c r="Y63" s="4"/>
    </row>
    <row r="64" ht="26.25" customHeight="1">
      <c r="A64" s="8">
        <f t="shared" si="1"/>
        <v>62</v>
      </c>
      <c r="B64" s="9">
        <v>45944.0</v>
      </c>
      <c r="C64" s="8" t="s">
        <v>36</v>
      </c>
      <c r="D64" s="8" t="s">
        <v>117</v>
      </c>
      <c r="E64" s="8" t="s">
        <v>52</v>
      </c>
      <c r="F64" s="8" t="s">
        <v>14</v>
      </c>
      <c r="G64" s="8" t="s">
        <v>14</v>
      </c>
      <c r="H64" s="8" t="s">
        <v>24</v>
      </c>
      <c r="I64" s="8">
        <v>17.0</v>
      </c>
      <c r="J64" s="8" t="s">
        <v>118</v>
      </c>
      <c r="K64" s="4"/>
      <c r="L64" s="4"/>
      <c r="M64" s="4"/>
      <c r="N64" s="4"/>
      <c r="O64" s="4"/>
      <c r="P64" s="4"/>
      <c r="Q64" s="4"/>
      <c r="R64" s="4"/>
      <c r="S64" s="4"/>
      <c r="T64" s="4"/>
      <c r="U64" s="4"/>
      <c r="V64" s="4"/>
      <c r="W64" s="4"/>
      <c r="X64" s="4"/>
      <c r="Y64" s="4"/>
    </row>
    <row r="65" ht="26.25" customHeight="1">
      <c r="A65" s="10">
        <f t="shared" si="1"/>
        <v>63</v>
      </c>
      <c r="B65" s="11">
        <v>45944.0</v>
      </c>
      <c r="C65" s="10" t="s">
        <v>36</v>
      </c>
      <c r="D65" s="10" t="s">
        <v>119</v>
      </c>
      <c r="E65" s="10" t="s">
        <v>52</v>
      </c>
      <c r="F65" s="10" t="b">
        <v>0</v>
      </c>
      <c r="G65" s="10" t="s">
        <v>23</v>
      </c>
      <c r="H65" s="10" t="s">
        <v>24</v>
      </c>
      <c r="I65" s="10" t="s">
        <v>120</v>
      </c>
      <c r="J65" s="10" t="s">
        <v>62</v>
      </c>
      <c r="K65" s="4"/>
      <c r="L65" s="4"/>
      <c r="M65" s="4"/>
      <c r="N65" s="4"/>
      <c r="O65" s="4"/>
      <c r="P65" s="4"/>
      <c r="Q65" s="4"/>
      <c r="R65" s="4"/>
      <c r="S65" s="4"/>
      <c r="T65" s="4"/>
      <c r="U65" s="4"/>
      <c r="V65" s="4"/>
      <c r="W65" s="4"/>
      <c r="X65" s="4"/>
      <c r="Y65" s="4"/>
    </row>
    <row r="66" ht="26.25" customHeight="1">
      <c r="A66" s="10">
        <f t="shared" si="1"/>
        <v>64</v>
      </c>
      <c r="B66" s="11">
        <v>45944.0</v>
      </c>
      <c r="C66" s="10" t="s">
        <v>36</v>
      </c>
      <c r="D66" s="10" t="s">
        <v>121</v>
      </c>
      <c r="E66" s="10" t="s">
        <v>52</v>
      </c>
      <c r="F66" s="10" t="b">
        <v>0</v>
      </c>
      <c r="G66" s="10" t="s">
        <v>23</v>
      </c>
      <c r="H66" s="10" t="s">
        <v>24</v>
      </c>
      <c r="I66" s="10" t="s">
        <v>120</v>
      </c>
      <c r="J66" s="12" t="s">
        <v>62</v>
      </c>
      <c r="K66" s="4"/>
      <c r="L66" s="4"/>
      <c r="M66" s="4"/>
      <c r="N66" s="4"/>
      <c r="O66" s="4"/>
      <c r="P66" s="4"/>
      <c r="Q66" s="4"/>
      <c r="R66" s="4"/>
      <c r="S66" s="4"/>
      <c r="T66" s="4"/>
      <c r="U66" s="4"/>
      <c r="V66" s="4"/>
      <c r="W66" s="4"/>
      <c r="X66" s="4"/>
      <c r="Y66" s="4"/>
    </row>
    <row r="67" ht="26.25" customHeight="1">
      <c r="A67" s="8">
        <f t="shared" si="1"/>
        <v>65</v>
      </c>
      <c r="B67" s="9">
        <v>45944.0</v>
      </c>
      <c r="C67" s="8" t="s">
        <v>36</v>
      </c>
      <c r="D67" s="8" t="s">
        <v>122</v>
      </c>
      <c r="E67" s="8" t="s">
        <v>77</v>
      </c>
      <c r="F67" s="8" t="s">
        <v>14</v>
      </c>
      <c r="G67" s="8" t="s">
        <v>14</v>
      </c>
      <c r="H67" s="8" t="s">
        <v>15</v>
      </c>
      <c r="I67" s="8">
        <v>26.0</v>
      </c>
      <c r="J67" s="8" t="s">
        <v>123</v>
      </c>
      <c r="K67" s="4"/>
      <c r="L67" s="4"/>
      <c r="M67" s="4"/>
      <c r="N67" s="4"/>
      <c r="O67" s="4"/>
      <c r="P67" s="4"/>
      <c r="Q67" s="4"/>
      <c r="R67" s="4"/>
      <c r="S67" s="4"/>
      <c r="T67" s="4"/>
      <c r="U67" s="4"/>
      <c r="V67" s="4"/>
      <c r="W67" s="4"/>
      <c r="X67" s="4"/>
      <c r="Y67" s="4"/>
    </row>
    <row r="68" ht="26.25" customHeight="1">
      <c r="A68" s="8">
        <f t="shared" si="1"/>
        <v>66</v>
      </c>
      <c r="B68" s="9">
        <v>45944.0</v>
      </c>
      <c r="C68" s="8" t="s">
        <v>36</v>
      </c>
      <c r="D68" s="8" t="s">
        <v>124</v>
      </c>
      <c r="E68" s="8" t="s">
        <v>125</v>
      </c>
      <c r="F68" s="8" t="s">
        <v>14</v>
      </c>
      <c r="G68" s="8" t="s">
        <v>14</v>
      </c>
      <c r="H68" s="8" t="s">
        <v>24</v>
      </c>
      <c r="I68" s="8">
        <v>6.0</v>
      </c>
      <c r="J68" s="8" t="s">
        <v>126</v>
      </c>
      <c r="K68" s="4"/>
      <c r="L68" s="4"/>
      <c r="M68" s="4"/>
      <c r="N68" s="4"/>
      <c r="O68" s="4"/>
      <c r="P68" s="4"/>
      <c r="Q68" s="4"/>
      <c r="R68" s="4"/>
      <c r="S68" s="4"/>
      <c r="T68" s="4"/>
      <c r="U68" s="4"/>
      <c r="V68" s="4"/>
      <c r="W68" s="4"/>
      <c r="X68" s="4"/>
      <c r="Y68" s="4"/>
    </row>
    <row r="69" ht="26.25" customHeight="1">
      <c r="A69" s="8">
        <f t="shared" si="1"/>
        <v>67</v>
      </c>
      <c r="B69" s="9">
        <v>45944.0</v>
      </c>
      <c r="C69" s="8" t="s">
        <v>36</v>
      </c>
      <c r="D69" s="8" t="s">
        <v>127</v>
      </c>
      <c r="E69" s="13" t="s">
        <v>128</v>
      </c>
      <c r="F69" s="8" t="s">
        <v>14</v>
      </c>
      <c r="G69" s="8" t="s">
        <v>14</v>
      </c>
      <c r="H69" s="8" t="s">
        <v>24</v>
      </c>
      <c r="I69" s="8">
        <v>12.0</v>
      </c>
      <c r="J69" s="12" t="s">
        <v>16</v>
      </c>
      <c r="K69" s="4"/>
      <c r="L69" s="4"/>
      <c r="M69" s="4"/>
      <c r="N69" s="4"/>
      <c r="O69" s="4"/>
      <c r="P69" s="4"/>
      <c r="Q69" s="4"/>
      <c r="R69" s="4"/>
      <c r="S69" s="4"/>
      <c r="T69" s="4"/>
      <c r="U69" s="4"/>
      <c r="V69" s="4"/>
      <c r="W69" s="4"/>
      <c r="X69" s="4"/>
      <c r="Y69" s="4"/>
    </row>
    <row r="70" ht="26.25" customHeight="1">
      <c r="A70" s="8">
        <f t="shared" si="1"/>
        <v>68</v>
      </c>
      <c r="B70" s="9">
        <v>45946.0</v>
      </c>
      <c r="C70" s="8" t="s">
        <v>36</v>
      </c>
      <c r="D70" s="8" t="s">
        <v>129</v>
      </c>
      <c r="E70" s="8" t="s">
        <v>81</v>
      </c>
      <c r="F70" s="8" t="b">
        <v>0</v>
      </c>
      <c r="G70" s="8" t="s">
        <v>23</v>
      </c>
      <c r="H70" s="8" t="s">
        <v>24</v>
      </c>
      <c r="I70" s="8">
        <v>77.0</v>
      </c>
      <c r="J70" s="8" t="s">
        <v>130</v>
      </c>
      <c r="K70" s="4"/>
      <c r="L70" s="4"/>
      <c r="M70" s="4"/>
      <c r="N70" s="4"/>
      <c r="O70" s="4"/>
      <c r="P70" s="4"/>
      <c r="Q70" s="4"/>
      <c r="R70" s="4"/>
      <c r="S70" s="4"/>
      <c r="T70" s="4"/>
      <c r="U70" s="4"/>
      <c r="V70" s="4"/>
      <c r="W70" s="4"/>
      <c r="X70" s="4"/>
      <c r="Y70" s="4"/>
    </row>
    <row r="71" ht="26.25" customHeight="1">
      <c r="A71" s="8">
        <f t="shared" si="1"/>
        <v>69</v>
      </c>
      <c r="B71" s="9">
        <v>45946.0</v>
      </c>
      <c r="C71" s="8" t="s">
        <v>36</v>
      </c>
      <c r="D71" s="8" t="s">
        <v>131</v>
      </c>
      <c r="E71" s="8" t="s">
        <v>81</v>
      </c>
      <c r="F71" s="8" t="b">
        <v>0</v>
      </c>
      <c r="G71" s="8" t="s">
        <v>23</v>
      </c>
      <c r="H71" s="8" t="s">
        <v>24</v>
      </c>
      <c r="I71" s="8">
        <v>77.0</v>
      </c>
      <c r="J71" s="8" t="s">
        <v>132</v>
      </c>
      <c r="K71" s="4"/>
      <c r="L71" s="4"/>
      <c r="M71" s="4"/>
      <c r="N71" s="4"/>
      <c r="O71" s="4"/>
      <c r="P71" s="4"/>
      <c r="Q71" s="4"/>
      <c r="R71" s="4"/>
      <c r="S71" s="4"/>
      <c r="T71" s="4"/>
      <c r="U71" s="4"/>
      <c r="V71" s="4"/>
      <c r="W71" s="4"/>
      <c r="X71" s="4"/>
      <c r="Y71" s="4"/>
    </row>
    <row r="72" ht="26.25" customHeight="1">
      <c r="A72" s="8">
        <f t="shared" si="1"/>
        <v>70</v>
      </c>
      <c r="B72" s="9">
        <v>45946.0</v>
      </c>
      <c r="C72" s="8" t="s">
        <v>36</v>
      </c>
      <c r="D72" s="8" t="s">
        <v>133</v>
      </c>
      <c r="E72" s="8" t="s">
        <v>134</v>
      </c>
      <c r="F72" s="8" t="s">
        <v>14</v>
      </c>
      <c r="G72" s="8" t="s">
        <v>14</v>
      </c>
      <c r="H72" s="8" t="s">
        <v>24</v>
      </c>
      <c r="I72" s="8">
        <v>63.0</v>
      </c>
      <c r="J72" s="8" t="s">
        <v>135</v>
      </c>
      <c r="K72" s="4"/>
      <c r="L72" s="4"/>
      <c r="M72" s="4"/>
      <c r="N72" s="4"/>
      <c r="O72" s="4"/>
      <c r="P72" s="4"/>
      <c r="Q72" s="4"/>
      <c r="R72" s="4"/>
      <c r="S72" s="4"/>
      <c r="T72" s="4"/>
      <c r="U72" s="4"/>
      <c r="V72" s="4"/>
      <c r="W72" s="4"/>
      <c r="X72" s="4"/>
      <c r="Y72" s="4"/>
    </row>
    <row r="73" ht="26.25" customHeight="1">
      <c r="A73" s="8">
        <f t="shared" si="1"/>
        <v>71</v>
      </c>
      <c r="B73" s="9">
        <v>45946.0</v>
      </c>
      <c r="C73" s="8" t="s">
        <v>36</v>
      </c>
      <c r="D73" s="8" t="s">
        <v>136</v>
      </c>
      <c r="E73" s="8" t="s">
        <v>137</v>
      </c>
      <c r="F73" s="8" t="s">
        <v>14</v>
      </c>
      <c r="G73" s="8" t="s">
        <v>14</v>
      </c>
      <c r="H73" s="8" t="s">
        <v>24</v>
      </c>
      <c r="I73" s="8">
        <v>16.0</v>
      </c>
      <c r="J73" s="8" t="s">
        <v>138</v>
      </c>
      <c r="K73" s="4"/>
      <c r="L73" s="4"/>
      <c r="M73" s="4"/>
      <c r="N73" s="4"/>
      <c r="O73" s="4"/>
      <c r="P73" s="4"/>
      <c r="Q73" s="4"/>
      <c r="R73" s="4"/>
      <c r="S73" s="4"/>
      <c r="T73" s="4"/>
      <c r="U73" s="4"/>
      <c r="V73" s="4"/>
      <c r="W73" s="4"/>
      <c r="X73" s="4"/>
      <c r="Y73" s="4"/>
    </row>
    <row r="74" ht="26.25" customHeight="1">
      <c r="A74" s="8">
        <f t="shared" si="1"/>
        <v>72</v>
      </c>
      <c r="B74" s="9">
        <v>45946.0</v>
      </c>
      <c r="C74" s="8" t="s">
        <v>36</v>
      </c>
      <c r="D74" s="8" t="s">
        <v>139</v>
      </c>
      <c r="E74" s="8" t="s">
        <v>77</v>
      </c>
      <c r="F74" s="8" t="b">
        <v>0</v>
      </c>
      <c r="G74" s="8" t="s">
        <v>23</v>
      </c>
      <c r="H74" s="8" t="s">
        <v>24</v>
      </c>
      <c r="I74" s="8" t="s">
        <v>140</v>
      </c>
      <c r="J74" s="8" t="s">
        <v>141</v>
      </c>
      <c r="K74" s="4"/>
      <c r="L74" s="4"/>
      <c r="M74" s="4"/>
      <c r="N74" s="4"/>
      <c r="O74" s="4"/>
      <c r="P74" s="4"/>
      <c r="Q74" s="4"/>
      <c r="R74" s="4"/>
      <c r="S74" s="4"/>
      <c r="T74" s="4"/>
      <c r="U74" s="4"/>
      <c r="V74" s="4"/>
      <c r="W74" s="4"/>
      <c r="X74" s="4"/>
      <c r="Y74" s="4"/>
    </row>
    <row r="75" ht="26.25" customHeight="1">
      <c r="A75" s="8">
        <f t="shared" si="1"/>
        <v>73</v>
      </c>
      <c r="B75" s="9">
        <v>45946.0</v>
      </c>
      <c r="C75" s="8" t="s">
        <v>36</v>
      </c>
      <c r="D75" s="8" t="s">
        <v>142</v>
      </c>
      <c r="E75" s="8" t="s">
        <v>143</v>
      </c>
      <c r="F75" s="8" t="b">
        <v>0</v>
      </c>
      <c r="G75" s="8" t="s">
        <v>23</v>
      </c>
      <c r="H75" s="8" t="s">
        <v>72</v>
      </c>
      <c r="I75" s="8" t="s">
        <v>144</v>
      </c>
      <c r="J75" s="8" t="s">
        <v>145</v>
      </c>
      <c r="K75" s="4"/>
      <c r="L75" s="4"/>
      <c r="M75" s="4"/>
      <c r="N75" s="4"/>
      <c r="O75" s="4"/>
      <c r="P75" s="4"/>
      <c r="Q75" s="4"/>
      <c r="R75" s="4"/>
      <c r="S75" s="4"/>
      <c r="T75" s="4"/>
      <c r="U75" s="4"/>
      <c r="V75" s="4"/>
      <c r="W75" s="4"/>
      <c r="X75" s="4"/>
      <c r="Y75" s="4"/>
    </row>
    <row r="76" ht="26.25" customHeight="1">
      <c r="A76" s="8">
        <f t="shared" si="1"/>
        <v>74</v>
      </c>
      <c r="B76" s="9">
        <v>45946.0</v>
      </c>
      <c r="C76" s="8" t="s">
        <v>36</v>
      </c>
      <c r="D76" s="8" t="s">
        <v>146</v>
      </c>
      <c r="E76" s="8" t="s">
        <v>143</v>
      </c>
      <c r="F76" s="8" t="b">
        <v>0</v>
      </c>
      <c r="G76" s="8" t="s">
        <v>23</v>
      </c>
      <c r="H76" s="8" t="s">
        <v>72</v>
      </c>
      <c r="I76" s="8" t="s">
        <v>144</v>
      </c>
      <c r="J76" s="8" t="s">
        <v>147</v>
      </c>
      <c r="K76" s="4"/>
      <c r="L76" s="4"/>
      <c r="M76" s="4"/>
      <c r="N76" s="4"/>
      <c r="O76" s="4"/>
      <c r="P76" s="4"/>
      <c r="Q76" s="4"/>
      <c r="R76" s="4"/>
      <c r="S76" s="4"/>
      <c r="T76" s="4"/>
      <c r="U76" s="4"/>
      <c r="V76" s="4"/>
      <c r="W76" s="4"/>
      <c r="X76" s="4"/>
      <c r="Y76" s="4"/>
    </row>
    <row r="77" ht="26.25" customHeight="1">
      <c r="A77" s="8">
        <f t="shared" si="1"/>
        <v>75</v>
      </c>
      <c r="B77" s="9">
        <v>45946.0</v>
      </c>
      <c r="C77" s="8" t="s">
        <v>36</v>
      </c>
      <c r="D77" s="8" t="s">
        <v>148</v>
      </c>
      <c r="E77" s="8" t="s">
        <v>143</v>
      </c>
      <c r="F77" s="8" t="b">
        <v>0</v>
      </c>
      <c r="G77" s="8" t="s">
        <v>23</v>
      </c>
      <c r="H77" s="8" t="s">
        <v>72</v>
      </c>
      <c r="I77" s="8" t="s">
        <v>144</v>
      </c>
      <c r="J77" s="8" t="s">
        <v>149</v>
      </c>
      <c r="K77" s="4"/>
      <c r="L77" s="4"/>
      <c r="M77" s="4"/>
      <c r="N77" s="4"/>
      <c r="O77" s="4"/>
      <c r="P77" s="4"/>
      <c r="Q77" s="4"/>
      <c r="R77" s="4"/>
      <c r="S77" s="4"/>
      <c r="T77" s="4"/>
      <c r="U77" s="4"/>
      <c r="V77" s="4"/>
      <c r="W77" s="4"/>
      <c r="X77" s="4"/>
      <c r="Y77" s="4"/>
    </row>
    <row r="78" ht="26.25" customHeight="1">
      <c r="A78" s="8">
        <f t="shared" si="1"/>
        <v>76</v>
      </c>
      <c r="B78" s="9">
        <v>45946.0</v>
      </c>
      <c r="C78" s="8" t="s">
        <v>36</v>
      </c>
      <c r="D78" s="8" t="s">
        <v>150</v>
      </c>
      <c r="E78" s="8" t="s">
        <v>143</v>
      </c>
      <c r="F78" s="8" t="b">
        <v>0</v>
      </c>
      <c r="G78" s="8" t="s">
        <v>23</v>
      </c>
      <c r="H78" s="8" t="s">
        <v>72</v>
      </c>
      <c r="I78" s="8" t="s">
        <v>144</v>
      </c>
      <c r="J78" s="12" t="s">
        <v>151</v>
      </c>
      <c r="K78" s="4"/>
      <c r="L78" s="4"/>
      <c r="M78" s="4"/>
      <c r="N78" s="4"/>
      <c r="O78" s="4"/>
      <c r="P78" s="4"/>
      <c r="Q78" s="4"/>
      <c r="R78" s="4"/>
      <c r="S78" s="4"/>
      <c r="T78" s="4"/>
      <c r="U78" s="4"/>
      <c r="V78" s="4"/>
      <c r="W78" s="4"/>
      <c r="X78" s="4"/>
      <c r="Y78" s="4"/>
    </row>
    <row r="79" ht="26.25" customHeight="1">
      <c r="A79" s="14">
        <f t="shared" si="1"/>
        <v>77</v>
      </c>
      <c r="B79" s="9">
        <v>45949.0</v>
      </c>
      <c r="C79" s="8" t="s">
        <v>36</v>
      </c>
      <c r="D79" s="8" t="s">
        <v>152</v>
      </c>
      <c r="E79" s="8" t="s">
        <v>153</v>
      </c>
      <c r="F79" s="8" t="b">
        <v>0</v>
      </c>
      <c r="G79" s="8" t="s">
        <v>23</v>
      </c>
      <c r="H79" s="8" t="s">
        <v>24</v>
      </c>
      <c r="I79" s="15" t="s">
        <v>154</v>
      </c>
      <c r="J79" s="8" t="s">
        <v>155</v>
      </c>
      <c r="K79" s="4"/>
      <c r="L79" s="4"/>
      <c r="M79" s="16"/>
      <c r="N79" s="4"/>
      <c r="O79" s="4"/>
      <c r="P79" s="4"/>
      <c r="Q79" s="4"/>
      <c r="R79" s="4"/>
      <c r="S79" s="4"/>
      <c r="T79" s="4"/>
      <c r="U79" s="4"/>
      <c r="V79" s="4"/>
      <c r="W79" s="4"/>
      <c r="X79" s="4"/>
      <c r="Y79" s="4"/>
    </row>
    <row r="80" ht="26.25" customHeight="1">
      <c r="A80" s="14">
        <f t="shared" si="1"/>
        <v>78</v>
      </c>
      <c r="B80" s="9">
        <v>45949.0</v>
      </c>
      <c r="C80" s="8" t="s">
        <v>36</v>
      </c>
      <c r="D80" s="8" t="s">
        <v>156</v>
      </c>
      <c r="E80" s="8" t="s">
        <v>157</v>
      </c>
      <c r="F80" s="8" t="b">
        <v>0</v>
      </c>
      <c r="G80" s="8" t="s">
        <v>23</v>
      </c>
      <c r="H80" s="8" t="s">
        <v>24</v>
      </c>
      <c r="I80" s="15" t="s">
        <v>158</v>
      </c>
      <c r="J80" s="8" t="s">
        <v>159</v>
      </c>
      <c r="K80" s="4"/>
      <c r="L80" s="17"/>
      <c r="M80" s="16"/>
      <c r="N80" s="4"/>
      <c r="O80" s="4"/>
      <c r="P80" s="4"/>
      <c r="Q80" s="4"/>
      <c r="R80" s="4"/>
      <c r="S80" s="4"/>
      <c r="T80" s="4"/>
      <c r="U80" s="4"/>
      <c r="V80" s="4"/>
      <c r="W80" s="4"/>
      <c r="X80" s="4"/>
      <c r="Y80" s="4"/>
    </row>
    <row r="81" ht="26.25" customHeight="1">
      <c r="A81" s="14">
        <f t="shared" si="1"/>
        <v>79</v>
      </c>
      <c r="B81" s="9">
        <v>45949.0</v>
      </c>
      <c r="C81" s="8" t="s">
        <v>36</v>
      </c>
      <c r="D81" s="8" t="s">
        <v>160</v>
      </c>
      <c r="E81" s="8" t="s">
        <v>77</v>
      </c>
      <c r="F81" s="8" t="b">
        <v>0</v>
      </c>
      <c r="G81" s="8" t="s">
        <v>23</v>
      </c>
      <c r="H81" s="8" t="s">
        <v>24</v>
      </c>
      <c r="I81" s="15" t="s">
        <v>161</v>
      </c>
      <c r="J81" s="8" t="s">
        <v>162</v>
      </c>
      <c r="K81" s="4"/>
      <c r="L81" s="17"/>
      <c r="M81" s="16"/>
      <c r="N81" s="4"/>
      <c r="O81" s="4"/>
      <c r="P81" s="4"/>
      <c r="Q81" s="4"/>
      <c r="R81" s="4"/>
      <c r="S81" s="4"/>
      <c r="T81" s="4"/>
      <c r="U81" s="4"/>
      <c r="V81" s="4"/>
      <c r="W81" s="4"/>
      <c r="X81" s="4"/>
      <c r="Y81" s="4"/>
    </row>
    <row r="82" ht="26.25" customHeight="1">
      <c r="A82" s="14">
        <f t="shared" si="1"/>
        <v>80</v>
      </c>
      <c r="B82" s="9">
        <v>45949.0</v>
      </c>
      <c r="C82" s="8" t="s">
        <v>36</v>
      </c>
      <c r="D82" s="8" t="s">
        <v>163</v>
      </c>
      <c r="E82" s="8" t="s">
        <v>157</v>
      </c>
      <c r="F82" s="8" t="b">
        <v>0</v>
      </c>
      <c r="G82" s="8" t="s">
        <v>23</v>
      </c>
      <c r="H82" s="8" t="s">
        <v>24</v>
      </c>
      <c r="I82" s="15" t="s">
        <v>164</v>
      </c>
      <c r="J82" s="8" t="s">
        <v>165</v>
      </c>
      <c r="K82" s="4"/>
      <c r="L82" s="17"/>
      <c r="M82" s="16"/>
      <c r="N82" s="4"/>
      <c r="O82" s="4"/>
      <c r="P82" s="4"/>
      <c r="Q82" s="4"/>
      <c r="R82" s="4"/>
      <c r="S82" s="4"/>
      <c r="T82" s="4"/>
      <c r="U82" s="4"/>
      <c r="V82" s="4"/>
      <c r="W82" s="4"/>
      <c r="X82" s="4"/>
      <c r="Y82" s="4"/>
    </row>
    <row r="83" ht="26.25" customHeight="1">
      <c r="A83" s="14">
        <f t="shared" si="1"/>
        <v>81</v>
      </c>
      <c r="B83" s="9">
        <v>45949.0</v>
      </c>
      <c r="C83" s="8" t="s">
        <v>36</v>
      </c>
      <c r="D83" s="8" t="s">
        <v>166</v>
      </c>
      <c r="E83" s="8" t="s">
        <v>55</v>
      </c>
      <c r="F83" s="8" t="b">
        <v>0</v>
      </c>
      <c r="G83" s="8" t="s">
        <v>23</v>
      </c>
      <c r="H83" s="8" t="s">
        <v>24</v>
      </c>
      <c r="I83" s="15" t="s">
        <v>167</v>
      </c>
      <c r="J83" s="8" t="s">
        <v>168</v>
      </c>
      <c r="K83" s="4"/>
      <c r="L83" s="17"/>
      <c r="M83" s="16"/>
      <c r="N83" s="4"/>
      <c r="O83" s="4"/>
      <c r="P83" s="4"/>
      <c r="Q83" s="4"/>
      <c r="R83" s="4"/>
      <c r="S83" s="4"/>
      <c r="T83" s="4"/>
      <c r="U83" s="4"/>
      <c r="V83" s="4"/>
      <c r="W83" s="4"/>
      <c r="X83" s="4"/>
      <c r="Y83" s="4"/>
    </row>
    <row r="84" ht="26.25" customHeight="1">
      <c r="A84" s="14">
        <f t="shared" si="1"/>
        <v>82</v>
      </c>
      <c r="B84" s="9">
        <v>45949.0</v>
      </c>
      <c r="C84" s="8" t="s">
        <v>36</v>
      </c>
      <c r="D84" s="8" t="s">
        <v>169</v>
      </c>
      <c r="E84" s="8" t="s">
        <v>170</v>
      </c>
      <c r="F84" s="8" t="s">
        <v>14</v>
      </c>
      <c r="G84" s="8" t="s">
        <v>14</v>
      </c>
      <c r="H84" s="8" t="s">
        <v>24</v>
      </c>
      <c r="I84" s="8">
        <v>52.0</v>
      </c>
      <c r="J84" s="8" t="s">
        <v>171</v>
      </c>
      <c r="K84" s="4"/>
      <c r="L84" s="18"/>
      <c r="M84" s="16"/>
      <c r="N84" s="4"/>
      <c r="O84" s="4"/>
      <c r="P84" s="4"/>
      <c r="Q84" s="4"/>
      <c r="R84" s="4"/>
      <c r="S84" s="4"/>
      <c r="T84" s="4"/>
      <c r="U84" s="4"/>
      <c r="V84" s="4"/>
      <c r="W84" s="4"/>
      <c r="X84" s="4"/>
      <c r="Y84" s="4"/>
    </row>
    <row r="85" ht="26.25" customHeight="1">
      <c r="A85" s="14">
        <f t="shared" si="1"/>
        <v>83</v>
      </c>
      <c r="B85" s="9">
        <v>45949.0</v>
      </c>
      <c r="C85" s="8" t="s">
        <v>36</v>
      </c>
      <c r="D85" s="8" t="s">
        <v>172</v>
      </c>
      <c r="E85" s="8" t="s">
        <v>173</v>
      </c>
      <c r="F85" s="8" t="b">
        <v>0</v>
      </c>
      <c r="G85" s="8" t="s">
        <v>23</v>
      </c>
      <c r="H85" s="8" t="s">
        <v>24</v>
      </c>
      <c r="I85" s="8">
        <v>54.0</v>
      </c>
      <c r="J85" s="8" t="s">
        <v>174</v>
      </c>
      <c r="K85" s="4"/>
      <c r="L85" s="4"/>
      <c r="M85" s="16"/>
      <c r="N85" s="4"/>
      <c r="O85" s="4"/>
      <c r="P85" s="4"/>
      <c r="Q85" s="4"/>
      <c r="R85" s="4"/>
      <c r="S85" s="4"/>
      <c r="T85" s="4"/>
      <c r="U85" s="4"/>
      <c r="V85" s="4"/>
      <c r="W85" s="4"/>
      <c r="X85" s="4"/>
      <c r="Y85" s="4"/>
    </row>
    <row r="86" ht="26.25" customHeight="1">
      <c r="A86" s="14">
        <f t="shared" si="1"/>
        <v>84</v>
      </c>
      <c r="B86" s="9">
        <v>45949.0</v>
      </c>
      <c r="C86" s="8" t="s">
        <v>36</v>
      </c>
      <c r="D86" s="8" t="s">
        <v>175</v>
      </c>
      <c r="E86" s="8" t="s">
        <v>125</v>
      </c>
      <c r="F86" s="8" t="b">
        <v>0</v>
      </c>
      <c r="G86" s="8" t="s">
        <v>23</v>
      </c>
      <c r="H86" s="8" t="s">
        <v>24</v>
      </c>
      <c r="I86" s="8">
        <v>55.0</v>
      </c>
      <c r="J86" s="8" t="s">
        <v>176</v>
      </c>
      <c r="K86" s="4"/>
      <c r="L86" s="17"/>
      <c r="M86" s="16"/>
      <c r="N86" s="4"/>
      <c r="O86" s="4"/>
      <c r="P86" s="4"/>
      <c r="Q86" s="4"/>
      <c r="R86" s="4"/>
      <c r="S86" s="4"/>
      <c r="T86" s="4"/>
      <c r="U86" s="4"/>
      <c r="V86" s="4"/>
      <c r="W86" s="4"/>
      <c r="X86" s="4"/>
      <c r="Y86" s="4"/>
    </row>
    <row r="87" ht="26.25" customHeight="1">
      <c r="A87" s="14">
        <f t="shared" si="1"/>
        <v>85</v>
      </c>
      <c r="B87" s="9">
        <v>45949.0</v>
      </c>
      <c r="C87" s="8" t="s">
        <v>36</v>
      </c>
      <c r="D87" s="8" t="s">
        <v>177</v>
      </c>
      <c r="E87" s="8" t="s">
        <v>87</v>
      </c>
      <c r="F87" s="8" t="s">
        <v>14</v>
      </c>
      <c r="G87" s="8" t="s">
        <v>14</v>
      </c>
      <c r="H87" s="8" t="s">
        <v>24</v>
      </c>
      <c r="I87" s="8">
        <v>61.0</v>
      </c>
      <c r="J87" s="8" t="s">
        <v>178</v>
      </c>
      <c r="K87" s="4"/>
      <c r="L87" s="4"/>
      <c r="M87" s="16"/>
      <c r="N87" s="4"/>
      <c r="O87" s="4"/>
      <c r="P87" s="4"/>
      <c r="Q87" s="4"/>
      <c r="R87" s="4"/>
      <c r="S87" s="4"/>
      <c r="T87" s="4"/>
      <c r="U87" s="4"/>
      <c r="V87" s="4"/>
      <c r="W87" s="4"/>
      <c r="X87" s="4"/>
      <c r="Y87" s="4"/>
    </row>
    <row r="88" ht="26.25" customHeight="1">
      <c r="A88" s="14">
        <f t="shared" si="1"/>
        <v>86</v>
      </c>
      <c r="B88" s="9">
        <v>45949.0</v>
      </c>
      <c r="C88" s="8" t="s">
        <v>36</v>
      </c>
      <c r="D88" s="8" t="s">
        <v>179</v>
      </c>
      <c r="E88" s="8" t="s">
        <v>180</v>
      </c>
      <c r="F88" s="8" t="b">
        <v>0</v>
      </c>
      <c r="G88" s="8" t="s">
        <v>23</v>
      </c>
      <c r="H88" s="8" t="s">
        <v>24</v>
      </c>
      <c r="I88" s="8">
        <v>70.0</v>
      </c>
      <c r="J88" s="8" t="s">
        <v>181</v>
      </c>
      <c r="K88" s="4"/>
      <c r="L88" s="17"/>
      <c r="M88" s="16"/>
      <c r="N88" s="4"/>
      <c r="O88" s="4"/>
      <c r="P88" s="4"/>
      <c r="Q88" s="4"/>
      <c r="R88" s="4"/>
      <c r="S88" s="4"/>
      <c r="T88" s="4"/>
      <c r="U88" s="4"/>
      <c r="V88" s="4"/>
      <c r="W88" s="4"/>
      <c r="X88" s="4"/>
      <c r="Y88" s="4"/>
    </row>
    <row r="89" ht="26.25" customHeight="1">
      <c r="A89" s="14">
        <f t="shared" si="1"/>
        <v>87</v>
      </c>
      <c r="B89" s="9">
        <v>45949.0</v>
      </c>
      <c r="C89" s="8" t="s">
        <v>36</v>
      </c>
      <c r="D89" s="8" t="s">
        <v>182</v>
      </c>
      <c r="E89" s="8" t="s">
        <v>183</v>
      </c>
      <c r="F89" s="8" t="b">
        <v>0</v>
      </c>
      <c r="G89" s="8" t="s">
        <v>23</v>
      </c>
      <c r="H89" s="8" t="s">
        <v>24</v>
      </c>
      <c r="I89" s="8">
        <v>72.0</v>
      </c>
      <c r="J89" s="8" t="s">
        <v>184</v>
      </c>
      <c r="K89" s="4"/>
      <c r="L89" s="4"/>
      <c r="M89" s="16"/>
      <c r="N89" s="4"/>
      <c r="O89" s="4"/>
      <c r="P89" s="4"/>
      <c r="Q89" s="4"/>
      <c r="R89" s="4"/>
      <c r="S89" s="4"/>
      <c r="T89" s="4"/>
      <c r="U89" s="4"/>
      <c r="V89" s="4"/>
      <c r="W89" s="4"/>
      <c r="X89" s="4"/>
      <c r="Y89" s="4"/>
    </row>
    <row r="90" ht="26.25" customHeight="1">
      <c r="A90" s="14">
        <f t="shared" si="1"/>
        <v>88</v>
      </c>
      <c r="B90" s="9">
        <v>45949.0</v>
      </c>
      <c r="C90" s="8" t="s">
        <v>36</v>
      </c>
      <c r="D90" s="19" t="s">
        <v>185</v>
      </c>
      <c r="E90" s="8" t="s">
        <v>69</v>
      </c>
      <c r="F90" s="8" t="s">
        <v>14</v>
      </c>
      <c r="G90" s="8" t="s">
        <v>14</v>
      </c>
      <c r="H90" s="8" t="s">
        <v>24</v>
      </c>
      <c r="I90" s="8">
        <v>73.0</v>
      </c>
      <c r="J90" s="8" t="s">
        <v>186</v>
      </c>
      <c r="K90" s="4"/>
      <c r="L90" s="4"/>
      <c r="M90" s="16"/>
      <c r="N90" s="4"/>
      <c r="O90" s="4"/>
      <c r="P90" s="4"/>
      <c r="Q90" s="4"/>
      <c r="R90" s="4"/>
      <c r="S90" s="4"/>
      <c r="T90" s="4"/>
      <c r="U90" s="4"/>
      <c r="V90" s="4"/>
      <c r="W90" s="4"/>
      <c r="X90" s="4"/>
      <c r="Y90" s="4"/>
    </row>
    <row r="91" ht="26.25" customHeight="1">
      <c r="A91" s="14">
        <f t="shared" si="1"/>
        <v>89</v>
      </c>
      <c r="B91" s="9">
        <v>45949.0</v>
      </c>
      <c r="C91" s="8" t="s">
        <v>36</v>
      </c>
      <c r="D91" s="8" t="s">
        <v>187</v>
      </c>
      <c r="E91" s="8" t="s">
        <v>38</v>
      </c>
      <c r="F91" s="8" t="b">
        <v>0</v>
      </c>
      <c r="G91" s="8" t="s">
        <v>23</v>
      </c>
      <c r="H91" s="8" t="s">
        <v>24</v>
      </c>
      <c r="I91" s="8">
        <v>77.0</v>
      </c>
      <c r="J91" s="8" t="s">
        <v>188</v>
      </c>
      <c r="K91" s="4"/>
      <c r="L91" s="4"/>
      <c r="M91" s="16"/>
      <c r="N91" s="4"/>
      <c r="O91" s="4"/>
      <c r="P91" s="4"/>
      <c r="Q91" s="4"/>
      <c r="R91" s="4"/>
      <c r="S91" s="4"/>
      <c r="T91" s="4"/>
      <c r="U91" s="4"/>
      <c r="V91" s="4"/>
      <c r="W91" s="4"/>
      <c r="X91" s="4"/>
      <c r="Y91" s="4"/>
    </row>
    <row r="92" ht="26.25" customHeight="1">
      <c r="A92" s="14">
        <f t="shared" si="1"/>
        <v>90</v>
      </c>
      <c r="B92" s="9">
        <v>45949.0</v>
      </c>
      <c r="C92" s="8" t="s">
        <v>36</v>
      </c>
      <c r="D92" s="19" t="s">
        <v>189</v>
      </c>
      <c r="E92" s="8" t="s">
        <v>190</v>
      </c>
      <c r="F92" s="8" t="s">
        <v>14</v>
      </c>
      <c r="G92" s="8" t="s">
        <v>14</v>
      </c>
      <c r="H92" s="8" t="s">
        <v>24</v>
      </c>
      <c r="I92" s="8">
        <v>80.0</v>
      </c>
      <c r="J92" s="8" t="s">
        <v>191</v>
      </c>
      <c r="K92" s="4"/>
      <c r="L92" s="4"/>
      <c r="M92" s="16"/>
      <c r="N92" s="4"/>
      <c r="O92" s="4"/>
      <c r="P92" s="4"/>
      <c r="Q92" s="4"/>
      <c r="R92" s="4"/>
      <c r="S92" s="4"/>
      <c r="T92" s="4"/>
      <c r="U92" s="4"/>
      <c r="V92" s="4"/>
      <c r="W92" s="4"/>
      <c r="X92" s="4"/>
      <c r="Y92" s="4"/>
    </row>
    <row r="93" ht="26.25" customHeight="1">
      <c r="A93" s="14">
        <f t="shared" si="1"/>
        <v>91</v>
      </c>
      <c r="B93" s="9">
        <v>45949.0</v>
      </c>
      <c r="C93" s="8" t="s">
        <v>36</v>
      </c>
      <c r="D93" s="8" t="s">
        <v>192</v>
      </c>
      <c r="E93" s="8" t="s">
        <v>193</v>
      </c>
      <c r="F93" s="8" t="b">
        <v>0</v>
      </c>
      <c r="G93" s="8" t="s">
        <v>23</v>
      </c>
      <c r="H93" s="8" t="s">
        <v>24</v>
      </c>
      <c r="I93" s="8">
        <v>84.0</v>
      </c>
      <c r="J93" s="8" t="s">
        <v>194</v>
      </c>
      <c r="K93" s="4"/>
      <c r="L93" s="17"/>
      <c r="M93" s="16"/>
      <c r="N93" s="4"/>
      <c r="O93" s="4"/>
      <c r="P93" s="4"/>
      <c r="Q93" s="4"/>
      <c r="R93" s="4"/>
      <c r="S93" s="4"/>
      <c r="T93" s="4"/>
      <c r="U93" s="4"/>
      <c r="V93" s="4"/>
      <c r="W93" s="4"/>
      <c r="X93" s="4"/>
      <c r="Y93" s="4"/>
    </row>
    <row r="94" ht="26.25" customHeight="1">
      <c r="A94" s="14">
        <f t="shared" si="1"/>
        <v>92</v>
      </c>
      <c r="B94" s="9">
        <v>45949.0</v>
      </c>
      <c r="C94" s="8" t="s">
        <v>36</v>
      </c>
      <c r="D94" s="19" t="s">
        <v>195</v>
      </c>
      <c r="E94" s="8" t="s">
        <v>196</v>
      </c>
      <c r="F94" s="8" t="s">
        <v>14</v>
      </c>
      <c r="G94" s="8" t="s">
        <v>14</v>
      </c>
      <c r="H94" s="8" t="s">
        <v>24</v>
      </c>
      <c r="I94" s="8">
        <v>89.0</v>
      </c>
      <c r="J94" s="12" t="s">
        <v>197</v>
      </c>
      <c r="K94" s="4"/>
      <c r="L94" s="4"/>
      <c r="M94" s="16"/>
      <c r="N94" s="4"/>
      <c r="O94" s="4"/>
      <c r="P94" s="4"/>
      <c r="Q94" s="4"/>
      <c r="R94" s="4"/>
      <c r="S94" s="4"/>
      <c r="T94" s="4"/>
      <c r="U94" s="4"/>
      <c r="V94" s="4"/>
      <c r="W94" s="4"/>
      <c r="X94" s="4"/>
      <c r="Y94" s="4"/>
    </row>
    <row r="95" ht="26.25" customHeight="1">
      <c r="A95" s="20">
        <f t="shared" si="1"/>
        <v>93</v>
      </c>
      <c r="B95" s="9">
        <v>45950.0</v>
      </c>
      <c r="C95" s="8" t="s">
        <v>36</v>
      </c>
      <c r="D95" s="8" t="s">
        <v>198</v>
      </c>
      <c r="E95" s="8" t="s">
        <v>125</v>
      </c>
      <c r="F95" s="8" t="b">
        <v>0</v>
      </c>
      <c r="G95" s="8" t="s">
        <v>23</v>
      </c>
      <c r="H95" s="8" t="s">
        <v>24</v>
      </c>
      <c r="I95" s="8">
        <v>84.0</v>
      </c>
      <c r="J95" s="8" t="s">
        <v>199</v>
      </c>
      <c r="K95" s="4"/>
      <c r="L95" s="4"/>
      <c r="M95" s="4"/>
      <c r="N95" s="4"/>
      <c r="O95" s="4"/>
      <c r="P95" s="4"/>
      <c r="Q95" s="4"/>
      <c r="R95" s="4"/>
      <c r="S95" s="4"/>
      <c r="T95" s="4"/>
      <c r="U95" s="4"/>
      <c r="V95" s="4"/>
      <c r="W95" s="4"/>
      <c r="X95" s="4"/>
      <c r="Y95" s="4"/>
    </row>
    <row r="96" ht="26.25" customHeight="1">
      <c r="A96" s="20">
        <f t="shared" si="1"/>
        <v>94</v>
      </c>
      <c r="B96" s="9">
        <v>45950.0</v>
      </c>
      <c r="C96" s="8" t="s">
        <v>36</v>
      </c>
      <c r="D96" s="8" t="s">
        <v>200</v>
      </c>
      <c r="E96" s="8" t="s">
        <v>196</v>
      </c>
      <c r="F96" s="8" t="s">
        <v>14</v>
      </c>
      <c r="G96" s="8" t="s">
        <v>14</v>
      </c>
      <c r="H96" s="8" t="s">
        <v>24</v>
      </c>
      <c r="I96" s="8">
        <v>6.0</v>
      </c>
      <c r="J96" s="8" t="s">
        <v>201</v>
      </c>
      <c r="K96" s="4"/>
      <c r="L96" s="4"/>
      <c r="M96" s="4"/>
      <c r="N96" s="4"/>
      <c r="O96" s="4"/>
      <c r="P96" s="4"/>
      <c r="Q96" s="4"/>
      <c r="R96" s="4"/>
      <c r="S96" s="4"/>
      <c r="T96" s="4"/>
      <c r="U96" s="4"/>
      <c r="V96" s="4"/>
      <c r="W96" s="4"/>
      <c r="X96" s="4"/>
      <c r="Y96" s="4"/>
    </row>
    <row r="97" ht="26.25" customHeight="1">
      <c r="A97" s="20">
        <f t="shared" si="1"/>
        <v>95</v>
      </c>
      <c r="B97" s="9">
        <v>45950.0</v>
      </c>
      <c r="C97" s="8" t="s">
        <v>36</v>
      </c>
      <c r="D97" s="8" t="s">
        <v>202</v>
      </c>
      <c r="E97" s="8" t="s">
        <v>203</v>
      </c>
      <c r="F97" s="8" t="s">
        <v>14</v>
      </c>
      <c r="G97" s="8" t="s">
        <v>14</v>
      </c>
      <c r="H97" s="8" t="s">
        <v>15</v>
      </c>
      <c r="I97" s="21">
        <v>45826.0</v>
      </c>
      <c r="J97" s="8" t="s">
        <v>204</v>
      </c>
      <c r="K97" s="4"/>
      <c r="L97" s="4"/>
      <c r="M97" s="4"/>
      <c r="N97" s="4"/>
      <c r="O97" s="4"/>
      <c r="P97" s="4"/>
      <c r="Q97" s="4"/>
      <c r="R97" s="4"/>
      <c r="S97" s="4"/>
      <c r="T97" s="4"/>
      <c r="U97" s="4"/>
      <c r="V97" s="4"/>
      <c r="W97" s="4"/>
      <c r="X97" s="4"/>
      <c r="Y97" s="4"/>
    </row>
    <row r="98" ht="26.25" customHeight="1">
      <c r="A98" s="20">
        <f t="shared" si="1"/>
        <v>96</v>
      </c>
      <c r="B98" s="9">
        <v>45950.0</v>
      </c>
      <c r="C98" s="8" t="s">
        <v>36</v>
      </c>
      <c r="D98" s="8" t="s">
        <v>205</v>
      </c>
      <c r="E98" s="8" t="s">
        <v>206</v>
      </c>
      <c r="F98" s="8" t="s">
        <v>14</v>
      </c>
      <c r="G98" s="8" t="s">
        <v>14</v>
      </c>
      <c r="H98" s="8" t="s">
        <v>72</v>
      </c>
      <c r="I98" s="8" t="s">
        <v>207</v>
      </c>
      <c r="J98" s="8" t="s">
        <v>208</v>
      </c>
      <c r="K98" s="4"/>
      <c r="L98" s="4"/>
      <c r="M98" s="4"/>
      <c r="N98" s="4"/>
      <c r="O98" s="4"/>
      <c r="P98" s="4"/>
      <c r="Q98" s="4"/>
      <c r="R98" s="4"/>
      <c r="S98" s="4"/>
      <c r="T98" s="4"/>
      <c r="U98" s="4"/>
      <c r="V98" s="4"/>
      <c r="W98" s="4"/>
      <c r="X98" s="4"/>
      <c r="Y98" s="4"/>
    </row>
    <row r="99" ht="26.25" customHeight="1">
      <c r="A99" s="20">
        <f t="shared" si="1"/>
        <v>97</v>
      </c>
      <c r="B99" s="9">
        <v>45950.0</v>
      </c>
      <c r="C99" s="8" t="s">
        <v>36</v>
      </c>
      <c r="D99" s="8" t="s">
        <v>209</v>
      </c>
      <c r="E99" s="8" t="s">
        <v>210</v>
      </c>
      <c r="F99" s="8" t="b">
        <v>0</v>
      </c>
      <c r="G99" s="8" t="s">
        <v>23</v>
      </c>
      <c r="H99" s="8" t="s">
        <v>72</v>
      </c>
      <c r="I99" s="8" t="s">
        <v>211</v>
      </c>
      <c r="J99" s="8" t="s">
        <v>212</v>
      </c>
      <c r="K99" s="4"/>
      <c r="L99" s="4"/>
      <c r="M99" s="4"/>
      <c r="N99" s="4"/>
      <c r="O99" s="4"/>
      <c r="P99" s="4"/>
      <c r="Q99" s="4"/>
      <c r="R99" s="4"/>
      <c r="S99" s="4"/>
      <c r="T99" s="4"/>
      <c r="U99" s="4"/>
      <c r="V99" s="4"/>
      <c r="W99" s="4"/>
      <c r="X99" s="4"/>
      <c r="Y99" s="4"/>
    </row>
    <row r="100" ht="26.25" customHeight="1">
      <c r="A100" s="20">
        <f t="shared" si="1"/>
        <v>98</v>
      </c>
      <c r="B100" s="9">
        <v>45950.0</v>
      </c>
      <c r="C100" s="8" t="s">
        <v>36</v>
      </c>
      <c r="D100" s="8" t="s">
        <v>213</v>
      </c>
      <c r="E100" s="8" t="s">
        <v>203</v>
      </c>
      <c r="F100" s="8" t="s">
        <v>14</v>
      </c>
      <c r="G100" s="8" t="s">
        <v>14</v>
      </c>
      <c r="H100" s="8" t="s">
        <v>15</v>
      </c>
      <c r="I100" s="8">
        <v>6.0</v>
      </c>
      <c r="J100" s="8" t="s">
        <v>214</v>
      </c>
      <c r="K100" s="4"/>
      <c r="L100" s="4"/>
      <c r="M100" s="4"/>
      <c r="N100" s="4"/>
      <c r="O100" s="4"/>
      <c r="P100" s="4"/>
      <c r="Q100" s="4"/>
      <c r="R100" s="4"/>
      <c r="S100" s="4"/>
      <c r="T100" s="4"/>
      <c r="U100" s="4"/>
      <c r="V100" s="4"/>
      <c r="W100" s="4"/>
      <c r="X100" s="4"/>
      <c r="Y100" s="4"/>
    </row>
    <row r="101" ht="26.25" customHeight="1">
      <c r="A101" s="20">
        <f t="shared" si="1"/>
        <v>99</v>
      </c>
      <c r="B101" s="9">
        <v>45950.0</v>
      </c>
      <c r="C101" s="8" t="s">
        <v>36</v>
      </c>
      <c r="D101" s="8" t="s">
        <v>215</v>
      </c>
      <c r="E101" s="8" t="s">
        <v>203</v>
      </c>
      <c r="F101" s="8" t="b">
        <v>0</v>
      </c>
      <c r="G101" s="8" t="s">
        <v>23</v>
      </c>
      <c r="H101" s="8" t="s">
        <v>72</v>
      </c>
      <c r="I101" s="8" t="s">
        <v>216</v>
      </c>
      <c r="J101" s="8" t="s">
        <v>217</v>
      </c>
      <c r="K101" s="4"/>
      <c r="L101" s="4"/>
      <c r="M101" s="4"/>
      <c r="N101" s="4"/>
      <c r="O101" s="4"/>
      <c r="P101" s="4"/>
      <c r="Q101" s="4"/>
      <c r="R101" s="4"/>
      <c r="S101" s="4"/>
      <c r="T101" s="4"/>
      <c r="U101" s="4"/>
      <c r="V101" s="4"/>
      <c r="W101" s="4"/>
      <c r="X101" s="4"/>
      <c r="Y101" s="4"/>
    </row>
    <row r="102" ht="26.25" customHeight="1">
      <c r="A102" s="20">
        <f t="shared" si="1"/>
        <v>100</v>
      </c>
      <c r="B102" s="9">
        <v>45951.0</v>
      </c>
      <c r="C102" s="8" t="s">
        <v>36</v>
      </c>
      <c r="D102" s="8" t="s">
        <v>218</v>
      </c>
      <c r="E102" s="8" t="s">
        <v>219</v>
      </c>
      <c r="F102" s="8" t="b">
        <v>0</v>
      </c>
      <c r="G102" s="8" t="s">
        <v>23</v>
      </c>
      <c r="H102" s="8" t="s">
        <v>72</v>
      </c>
      <c r="I102" s="8" t="s">
        <v>216</v>
      </c>
      <c r="J102" s="8" t="s">
        <v>220</v>
      </c>
      <c r="K102" s="17" t="s">
        <v>24</v>
      </c>
      <c r="L102" s="17" t="s">
        <v>221</v>
      </c>
      <c r="M102" s="4"/>
      <c r="N102" s="4"/>
      <c r="O102" s="4"/>
      <c r="P102" s="4"/>
      <c r="Q102" s="4"/>
      <c r="R102" s="4"/>
      <c r="S102" s="4"/>
      <c r="T102" s="4"/>
      <c r="U102" s="4"/>
      <c r="V102" s="4"/>
      <c r="W102" s="4"/>
      <c r="X102" s="4"/>
      <c r="Y102" s="4"/>
    </row>
    <row r="103" ht="26.25" customHeight="1">
      <c r="A103" s="20">
        <f t="shared" si="1"/>
        <v>101</v>
      </c>
      <c r="B103" s="9">
        <v>45951.0</v>
      </c>
      <c r="C103" s="8" t="s">
        <v>36</v>
      </c>
      <c r="D103" s="8" t="s">
        <v>222</v>
      </c>
      <c r="E103" s="8" t="s">
        <v>223</v>
      </c>
      <c r="F103" s="8" t="b">
        <v>0</v>
      </c>
      <c r="G103" s="8" t="s">
        <v>23</v>
      </c>
      <c r="H103" s="8" t="s">
        <v>24</v>
      </c>
      <c r="I103" s="8">
        <v>35.0</v>
      </c>
      <c r="J103" s="8" t="s">
        <v>224</v>
      </c>
      <c r="K103" s="4"/>
      <c r="L103" s="4"/>
      <c r="M103" s="4"/>
      <c r="N103" s="4"/>
      <c r="O103" s="4"/>
      <c r="P103" s="4"/>
      <c r="Q103" s="4"/>
      <c r="R103" s="4"/>
      <c r="S103" s="4"/>
      <c r="T103" s="4"/>
      <c r="U103" s="4"/>
      <c r="V103" s="4"/>
      <c r="W103" s="4"/>
      <c r="X103" s="4"/>
      <c r="Y103" s="4"/>
    </row>
    <row r="104" ht="26.25" customHeight="1">
      <c r="A104" s="20">
        <f t="shared" si="1"/>
        <v>102</v>
      </c>
      <c r="B104" s="9">
        <v>45951.0</v>
      </c>
      <c r="C104" s="8" t="s">
        <v>36</v>
      </c>
      <c r="D104" s="8" t="s">
        <v>225</v>
      </c>
      <c r="E104" s="8" t="s">
        <v>67</v>
      </c>
      <c r="F104" s="8" t="b">
        <v>0</v>
      </c>
      <c r="G104" s="8" t="s">
        <v>23</v>
      </c>
      <c r="H104" s="8" t="s">
        <v>72</v>
      </c>
      <c r="I104" s="8" t="s">
        <v>226</v>
      </c>
      <c r="J104" s="8" t="s">
        <v>227</v>
      </c>
      <c r="K104" s="4"/>
      <c r="L104" s="4"/>
      <c r="M104" s="4"/>
      <c r="N104" s="4"/>
      <c r="O104" s="4"/>
      <c r="P104" s="4"/>
      <c r="Q104" s="4"/>
      <c r="R104" s="4"/>
      <c r="S104" s="4"/>
      <c r="T104" s="4"/>
      <c r="U104" s="4"/>
      <c r="V104" s="4"/>
      <c r="W104" s="4"/>
      <c r="X104" s="4"/>
      <c r="Y104" s="4"/>
    </row>
    <row r="105" ht="26.25" customHeight="1">
      <c r="A105" s="20">
        <f t="shared" si="1"/>
        <v>103</v>
      </c>
      <c r="B105" s="9">
        <v>45951.0</v>
      </c>
      <c r="C105" s="8" t="s">
        <v>36</v>
      </c>
      <c r="D105" s="8" t="s">
        <v>228</v>
      </c>
      <c r="E105" s="8" t="s">
        <v>229</v>
      </c>
      <c r="F105" s="8" t="b">
        <v>0</v>
      </c>
      <c r="G105" s="8" t="s">
        <v>23</v>
      </c>
      <c r="H105" s="8" t="s">
        <v>24</v>
      </c>
      <c r="I105" s="8">
        <v>11.0</v>
      </c>
      <c r="J105" s="8" t="s">
        <v>230</v>
      </c>
      <c r="K105" s="4"/>
      <c r="L105" s="4"/>
      <c r="M105" s="4"/>
      <c r="N105" s="4"/>
      <c r="O105" s="4"/>
      <c r="P105" s="4"/>
      <c r="Q105" s="4"/>
      <c r="R105" s="4"/>
      <c r="S105" s="4"/>
      <c r="T105" s="4"/>
      <c r="U105" s="4"/>
      <c r="V105" s="4"/>
      <c r="W105" s="4"/>
      <c r="X105" s="4"/>
      <c r="Y105" s="4"/>
    </row>
    <row r="106" ht="26.25" customHeight="1">
      <c r="A106" s="20">
        <f t="shared" si="1"/>
        <v>104</v>
      </c>
      <c r="B106" s="9">
        <v>45951.0</v>
      </c>
      <c r="C106" s="8" t="s">
        <v>36</v>
      </c>
      <c r="D106" s="8" t="s">
        <v>231</v>
      </c>
      <c r="E106" s="8" t="s">
        <v>232</v>
      </c>
      <c r="F106" s="8" t="b">
        <v>0</v>
      </c>
      <c r="G106" s="8" t="s">
        <v>23</v>
      </c>
      <c r="H106" s="8" t="s">
        <v>72</v>
      </c>
      <c r="I106" s="8" t="s">
        <v>233</v>
      </c>
      <c r="J106" s="8" t="s">
        <v>234</v>
      </c>
      <c r="K106" s="4"/>
      <c r="L106" s="4"/>
      <c r="M106" s="4"/>
      <c r="N106" s="4"/>
      <c r="O106" s="4"/>
      <c r="P106" s="4"/>
      <c r="Q106" s="4"/>
      <c r="R106" s="4"/>
      <c r="S106" s="4"/>
      <c r="T106" s="4"/>
      <c r="U106" s="4"/>
      <c r="V106" s="4"/>
      <c r="W106" s="4"/>
      <c r="X106" s="4"/>
      <c r="Y106" s="4"/>
    </row>
    <row r="107" ht="26.25" customHeight="1">
      <c r="A107" s="20">
        <f t="shared" si="1"/>
        <v>105</v>
      </c>
      <c r="B107" s="9">
        <v>45951.0</v>
      </c>
      <c r="C107" s="8" t="s">
        <v>36</v>
      </c>
      <c r="D107" s="8" t="s">
        <v>235</v>
      </c>
      <c r="E107" s="8" t="s">
        <v>236</v>
      </c>
      <c r="F107" s="8" t="b">
        <v>0</v>
      </c>
      <c r="G107" s="8" t="s">
        <v>23</v>
      </c>
      <c r="H107" s="8" t="s">
        <v>24</v>
      </c>
      <c r="I107" s="8">
        <v>64.0</v>
      </c>
      <c r="J107" s="8" t="s">
        <v>237</v>
      </c>
      <c r="K107" s="4"/>
      <c r="L107" s="4"/>
      <c r="M107" s="4"/>
      <c r="N107" s="4"/>
      <c r="O107" s="4"/>
      <c r="P107" s="4"/>
      <c r="Q107" s="4"/>
      <c r="R107" s="4"/>
      <c r="S107" s="4"/>
      <c r="T107" s="4"/>
      <c r="U107" s="4"/>
      <c r="V107" s="4"/>
      <c r="W107" s="4"/>
      <c r="X107" s="4"/>
      <c r="Y107" s="4"/>
    </row>
    <row r="108" ht="26.25" customHeight="1">
      <c r="A108" s="20">
        <f t="shared" si="1"/>
        <v>106</v>
      </c>
      <c r="B108" s="9">
        <v>45951.0</v>
      </c>
      <c r="C108" s="8" t="s">
        <v>36</v>
      </c>
      <c r="D108" s="8" t="s">
        <v>238</v>
      </c>
      <c r="E108" s="8" t="s">
        <v>236</v>
      </c>
      <c r="F108" s="8" t="b">
        <v>0</v>
      </c>
      <c r="G108" s="8" t="s">
        <v>23</v>
      </c>
      <c r="H108" s="8" t="s">
        <v>24</v>
      </c>
      <c r="I108" s="8">
        <v>64.0</v>
      </c>
      <c r="J108" s="8" t="s">
        <v>239</v>
      </c>
      <c r="K108" s="4"/>
      <c r="L108" s="4"/>
      <c r="M108" s="4"/>
      <c r="N108" s="4"/>
      <c r="O108" s="4"/>
      <c r="P108" s="4"/>
      <c r="Q108" s="4"/>
      <c r="R108" s="4"/>
      <c r="S108" s="4"/>
      <c r="T108" s="4"/>
      <c r="U108" s="4"/>
      <c r="V108" s="4"/>
      <c r="W108" s="4"/>
      <c r="X108" s="4"/>
      <c r="Y108" s="4"/>
    </row>
    <row r="109" ht="26.25" customHeight="1">
      <c r="A109" s="20">
        <f t="shared" si="1"/>
        <v>107</v>
      </c>
      <c r="B109" s="9">
        <v>45951.0</v>
      </c>
      <c r="C109" s="8" t="s">
        <v>36</v>
      </c>
      <c r="D109" s="8" t="s">
        <v>240</v>
      </c>
      <c r="E109" s="8" t="s">
        <v>196</v>
      </c>
      <c r="F109" s="8" t="b">
        <v>0</v>
      </c>
      <c r="G109" s="8" t="s">
        <v>23</v>
      </c>
      <c r="H109" s="8" t="s">
        <v>241</v>
      </c>
      <c r="I109" s="8">
        <v>107.0</v>
      </c>
      <c r="J109" s="8" t="s">
        <v>242</v>
      </c>
      <c r="K109" s="4"/>
      <c r="L109" s="4"/>
      <c r="M109" s="4"/>
      <c r="N109" s="4"/>
      <c r="O109" s="4"/>
      <c r="P109" s="4"/>
      <c r="Q109" s="4"/>
      <c r="R109" s="4"/>
      <c r="S109" s="4"/>
      <c r="T109" s="4"/>
      <c r="U109" s="4"/>
      <c r="V109" s="4"/>
      <c r="W109" s="4"/>
      <c r="X109" s="4"/>
      <c r="Y109" s="4"/>
    </row>
    <row r="110" ht="26.25" customHeight="1">
      <c r="A110" s="20">
        <f t="shared" si="1"/>
        <v>108</v>
      </c>
      <c r="B110" s="9">
        <v>45951.0</v>
      </c>
      <c r="C110" s="8" t="s">
        <v>36</v>
      </c>
      <c r="D110" s="8" t="s">
        <v>243</v>
      </c>
      <c r="E110" s="8" t="s">
        <v>244</v>
      </c>
      <c r="F110" s="8" t="b">
        <v>0</v>
      </c>
      <c r="G110" s="8" t="s">
        <v>23</v>
      </c>
      <c r="H110" s="8" t="s">
        <v>241</v>
      </c>
      <c r="I110" s="20">
        <f t="shared" ref="I110:I117" si="2">row(I108)</f>
        <v>108</v>
      </c>
      <c r="J110" s="8" t="s">
        <v>245</v>
      </c>
      <c r="K110" s="4"/>
      <c r="L110" s="4"/>
      <c r="M110" s="4"/>
      <c r="N110" s="4"/>
      <c r="O110" s="4"/>
      <c r="P110" s="4"/>
      <c r="Q110" s="4"/>
      <c r="R110" s="4"/>
      <c r="S110" s="4"/>
      <c r="T110" s="4"/>
      <c r="U110" s="4"/>
      <c r="V110" s="4"/>
      <c r="W110" s="4"/>
      <c r="X110" s="4"/>
      <c r="Y110" s="4"/>
    </row>
    <row r="111" ht="26.25" customHeight="1">
      <c r="A111" s="20">
        <f t="shared" si="1"/>
        <v>109</v>
      </c>
      <c r="B111" s="9">
        <v>45951.0</v>
      </c>
      <c r="C111" s="8" t="s">
        <v>36</v>
      </c>
      <c r="D111" s="8" t="s">
        <v>246</v>
      </c>
      <c r="E111" s="8" t="s">
        <v>244</v>
      </c>
      <c r="F111" s="8" t="b">
        <v>0</v>
      </c>
      <c r="G111" s="8" t="s">
        <v>23</v>
      </c>
      <c r="H111" s="8" t="s">
        <v>241</v>
      </c>
      <c r="I111" s="20">
        <f t="shared" si="2"/>
        <v>109</v>
      </c>
      <c r="J111" s="8" t="s">
        <v>247</v>
      </c>
      <c r="K111" s="4"/>
      <c r="L111" s="4"/>
      <c r="M111" s="4"/>
      <c r="N111" s="4"/>
      <c r="O111" s="4"/>
      <c r="P111" s="4"/>
      <c r="Q111" s="4"/>
      <c r="R111" s="4"/>
      <c r="S111" s="4"/>
      <c r="T111" s="4"/>
      <c r="U111" s="4"/>
      <c r="V111" s="4"/>
      <c r="W111" s="4"/>
      <c r="X111" s="4"/>
      <c r="Y111" s="4"/>
    </row>
    <row r="112" ht="26.25" customHeight="1">
      <c r="A112" s="20">
        <f t="shared" si="1"/>
        <v>110</v>
      </c>
      <c r="B112" s="9">
        <v>45951.0</v>
      </c>
      <c r="C112" s="8" t="s">
        <v>36</v>
      </c>
      <c r="D112" s="8" t="s">
        <v>248</v>
      </c>
      <c r="E112" s="8" t="s">
        <v>244</v>
      </c>
      <c r="F112" s="8" t="b">
        <v>0</v>
      </c>
      <c r="G112" s="8" t="s">
        <v>23</v>
      </c>
      <c r="H112" s="8" t="s">
        <v>241</v>
      </c>
      <c r="I112" s="20">
        <f t="shared" si="2"/>
        <v>110</v>
      </c>
      <c r="J112" s="8" t="s">
        <v>249</v>
      </c>
      <c r="K112" s="4"/>
      <c r="L112" s="4"/>
      <c r="M112" s="4"/>
      <c r="N112" s="4"/>
      <c r="O112" s="4"/>
      <c r="P112" s="4"/>
      <c r="Q112" s="4"/>
      <c r="R112" s="4"/>
      <c r="S112" s="4"/>
      <c r="T112" s="4"/>
      <c r="U112" s="4"/>
      <c r="V112" s="4"/>
      <c r="W112" s="4"/>
      <c r="X112" s="4"/>
      <c r="Y112" s="4"/>
    </row>
    <row r="113" ht="26.25" customHeight="1">
      <c r="A113" s="20">
        <f t="shared" si="1"/>
        <v>111</v>
      </c>
      <c r="B113" s="9">
        <v>45951.0</v>
      </c>
      <c r="C113" s="8" t="s">
        <v>36</v>
      </c>
      <c r="D113" s="8" t="s">
        <v>250</v>
      </c>
      <c r="E113" s="8" t="s">
        <v>244</v>
      </c>
      <c r="F113" s="8" t="b">
        <v>0</v>
      </c>
      <c r="G113" s="8" t="s">
        <v>23</v>
      </c>
      <c r="H113" s="8" t="s">
        <v>241</v>
      </c>
      <c r="I113" s="20">
        <f t="shared" si="2"/>
        <v>111</v>
      </c>
      <c r="J113" s="8" t="s">
        <v>251</v>
      </c>
      <c r="K113" s="4"/>
      <c r="L113" s="4"/>
      <c r="M113" s="4"/>
      <c r="N113" s="4"/>
      <c r="O113" s="4"/>
      <c r="P113" s="4"/>
      <c r="Q113" s="4"/>
      <c r="R113" s="4"/>
      <c r="S113" s="4"/>
      <c r="T113" s="4"/>
      <c r="U113" s="4"/>
      <c r="V113" s="4"/>
      <c r="W113" s="4"/>
      <c r="X113" s="4"/>
      <c r="Y113" s="4"/>
    </row>
    <row r="114" ht="26.25" customHeight="1">
      <c r="A114" s="20">
        <f t="shared" si="1"/>
        <v>112</v>
      </c>
      <c r="B114" s="9">
        <v>45951.0</v>
      </c>
      <c r="C114" s="8" t="s">
        <v>36</v>
      </c>
      <c r="D114" s="8" t="s">
        <v>252</v>
      </c>
      <c r="E114" s="8" t="s">
        <v>253</v>
      </c>
      <c r="F114" s="8" t="b">
        <v>0</v>
      </c>
      <c r="G114" s="8" t="s">
        <v>23</v>
      </c>
      <c r="H114" s="8" t="s">
        <v>241</v>
      </c>
      <c r="I114" s="20">
        <f t="shared" si="2"/>
        <v>112</v>
      </c>
      <c r="J114" s="8" t="s">
        <v>254</v>
      </c>
      <c r="K114" s="4"/>
      <c r="L114" s="4"/>
      <c r="M114" s="4"/>
      <c r="N114" s="4"/>
      <c r="O114" s="4"/>
      <c r="P114" s="4"/>
      <c r="Q114" s="4"/>
      <c r="R114" s="4"/>
      <c r="S114" s="4"/>
      <c r="T114" s="4"/>
      <c r="U114" s="4"/>
      <c r="V114" s="4"/>
      <c r="W114" s="4"/>
      <c r="X114" s="4"/>
      <c r="Y114" s="4"/>
    </row>
    <row r="115" ht="26.25" customHeight="1">
      <c r="A115" s="20">
        <f t="shared" si="1"/>
        <v>113</v>
      </c>
      <c r="B115" s="9">
        <v>45951.0</v>
      </c>
      <c r="C115" s="8" t="s">
        <v>36</v>
      </c>
      <c r="D115" s="8" t="s">
        <v>255</v>
      </c>
      <c r="E115" s="8" t="s">
        <v>253</v>
      </c>
      <c r="F115" s="8" t="b">
        <v>0</v>
      </c>
      <c r="G115" s="8" t="s">
        <v>23</v>
      </c>
      <c r="H115" s="8" t="s">
        <v>241</v>
      </c>
      <c r="I115" s="20">
        <f t="shared" si="2"/>
        <v>113</v>
      </c>
      <c r="J115" s="8" t="s">
        <v>256</v>
      </c>
      <c r="K115" s="4"/>
      <c r="L115" s="4"/>
      <c r="M115" s="4"/>
      <c r="N115" s="4"/>
      <c r="O115" s="4"/>
      <c r="P115" s="4"/>
      <c r="Q115" s="4"/>
      <c r="R115" s="4"/>
      <c r="S115" s="4"/>
      <c r="T115" s="4"/>
      <c r="U115" s="4"/>
      <c r="V115" s="4"/>
      <c r="W115" s="4"/>
      <c r="X115" s="4"/>
      <c r="Y115" s="4"/>
    </row>
    <row r="116" ht="26.25" customHeight="1">
      <c r="A116" s="20">
        <f t="shared" si="1"/>
        <v>114</v>
      </c>
      <c r="B116" s="9">
        <v>45951.0</v>
      </c>
      <c r="C116" s="8" t="s">
        <v>36</v>
      </c>
      <c r="D116" s="8" t="s">
        <v>257</v>
      </c>
      <c r="E116" s="8" t="s">
        <v>253</v>
      </c>
      <c r="F116" s="8" t="b">
        <v>0</v>
      </c>
      <c r="G116" s="8" t="s">
        <v>23</v>
      </c>
      <c r="H116" s="8" t="s">
        <v>241</v>
      </c>
      <c r="I116" s="20">
        <f t="shared" si="2"/>
        <v>114</v>
      </c>
      <c r="J116" s="8" t="s">
        <v>258</v>
      </c>
      <c r="K116" s="4"/>
      <c r="L116" s="4"/>
      <c r="M116" s="4"/>
      <c r="N116" s="4"/>
      <c r="O116" s="4"/>
      <c r="P116" s="4"/>
      <c r="Q116" s="4"/>
      <c r="R116" s="4"/>
      <c r="S116" s="4"/>
      <c r="T116" s="4"/>
      <c r="U116" s="4"/>
      <c r="V116" s="4"/>
      <c r="W116" s="4"/>
      <c r="X116" s="4"/>
      <c r="Y116" s="4"/>
    </row>
    <row r="117" ht="26.25" customHeight="1">
      <c r="A117" s="20">
        <f t="shared" si="1"/>
        <v>115</v>
      </c>
      <c r="B117" s="9">
        <v>45951.0</v>
      </c>
      <c r="C117" s="8" t="s">
        <v>36</v>
      </c>
      <c r="D117" s="8" t="s">
        <v>259</v>
      </c>
      <c r="E117" s="8" t="s">
        <v>253</v>
      </c>
      <c r="F117" s="8" t="b">
        <v>0</v>
      </c>
      <c r="G117" s="8" t="s">
        <v>23</v>
      </c>
      <c r="H117" s="8" t="s">
        <v>241</v>
      </c>
      <c r="I117" s="20">
        <f t="shared" si="2"/>
        <v>115</v>
      </c>
      <c r="J117" s="12" t="s">
        <v>260</v>
      </c>
      <c r="K117" s="4"/>
      <c r="L117" s="4"/>
      <c r="M117" s="4"/>
      <c r="N117" s="4"/>
      <c r="O117" s="4"/>
      <c r="P117" s="4"/>
      <c r="Q117" s="4"/>
      <c r="R117" s="4"/>
      <c r="S117" s="4"/>
      <c r="T117" s="4"/>
      <c r="U117" s="4"/>
      <c r="V117" s="4"/>
      <c r="W117" s="4"/>
      <c r="X117" s="4"/>
      <c r="Y117" s="4"/>
    </row>
    <row r="118" ht="15.75" customHeight="1">
      <c r="A118" s="20">
        <f t="shared" si="1"/>
        <v>116</v>
      </c>
      <c r="B118" s="9">
        <v>45952.0</v>
      </c>
      <c r="C118" s="8" t="s">
        <v>36</v>
      </c>
      <c r="D118" s="8" t="s">
        <v>261</v>
      </c>
      <c r="E118" s="8" t="s">
        <v>262</v>
      </c>
      <c r="F118" s="8" t="b">
        <v>0</v>
      </c>
      <c r="G118" s="8"/>
      <c r="H118" s="8"/>
      <c r="I118" s="19"/>
      <c r="J118" s="8" t="s">
        <v>263</v>
      </c>
      <c r="K118" s="4"/>
      <c r="L118" s="4"/>
      <c r="M118" s="4"/>
      <c r="N118" s="4"/>
      <c r="O118" s="4"/>
      <c r="P118" s="4"/>
      <c r="Q118" s="4"/>
      <c r="R118" s="4"/>
      <c r="S118" s="4"/>
      <c r="T118" s="4"/>
      <c r="U118" s="4"/>
      <c r="V118" s="4"/>
      <c r="W118" s="4"/>
      <c r="X118" s="4"/>
      <c r="Y118" s="4"/>
    </row>
    <row r="119" ht="15.75" customHeight="1">
      <c r="A119" s="20">
        <f t="shared" si="1"/>
        <v>117</v>
      </c>
      <c r="B119" s="9">
        <v>45952.0</v>
      </c>
      <c r="C119" s="8" t="s">
        <v>36</v>
      </c>
      <c r="D119" s="8" t="s">
        <v>264</v>
      </c>
      <c r="E119" s="8" t="s">
        <v>262</v>
      </c>
      <c r="F119" s="8" t="b">
        <v>0</v>
      </c>
      <c r="G119" s="8"/>
      <c r="H119" s="8"/>
      <c r="I119" s="19"/>
      <c r="J119" s="8" t="s">
        <v>265</v>
      </c>
      <c r="K119" s="4"/>
      <c r="L119" s="4"/>
      <c r="M119" s="4"/>
      <c r="N119" s="4"/>
      <c r="O119" s="4"/>
      <c r="P119" s="4"/>
      <c r="Q119" s="4"/>
      <c r="R119" s="4"/>
      <c r="S119" s="4"/>
      <c r="T119" s="4"/>
      <c r="U119" s="4"/>
      <c r="V119" s="4"/>
      <c r="W119" s="4"/>
      <c r="X119" s="4"/>
      <c r="Y119" s="4"/>
    </row>
    <row r="120" ht="16.5" customHeight="1">
      <c r="A120" s="20">
        <f t="shared" si="1"/>
        <v>118</v>
      </c>
      <c r="B120" s="9">
        <v>45952.0</v>
      </c>
      <c r="C120" s="8" t="s">
        <v>11</v>
      </c>
      <c r="D120" s="8" t="s">
        <v>266</v>
      </c>
      <c r="E120" s="8" t="s">
        <v>267</v>
      </c>
      <c r="F120" s="8" t="s">
        <v>14</v>
      </c>
      <c r="G120" s="8" t="s">
        <v>14</v>
      </c>
      <c r="H120" s="8" t="s">
        <v>24</v>
      </c>
      <c r="I120" s="8">
        <v>12.0</v>
      </c>
      <c r="J120" s="8" t="s">
        <v>268</v>
      </c>
      <c r="K120" s="4"/>
      <c r="L120" s="4"/>
      <c r="M120" s="4"/>
      <c r="N120" s="4"/>
      <c r="O120" s="4"/>
      <c r="P120" s="4"/>
      <c r="Q120" s="4"/>
      <c r="R120" s="4"/>
      <c r="S120" s="4"/>
      <c r="T120" s="4"/>
      <c r="U120" s="4"/>
      <c r="V120" s="4"/>
      <c r="W120" s="4"/>
      <c r="X120" s="4"/>
      <c r="Y120" s="4"/>
    </row>
    <row r="121" ht="15.75" customHeight="1">
      <c r="A121" s="20">
        <f t="shared" si="1"/>
        <v>119</v>
      </c>
      <c r="B121" s="9">
        <v>45952.0</v>
      </c>
      <c r="C121" s="8" t="s">
        <v>11</v>
      </c>
      <c r="D121" s="8" t="s">
        <v>269</v>
      </c>
      <c r="E121" s="8" t="s">
        <v>270</v>
      </c>
      <c r="F121" s="8" t="s">
        <v>14</v>
      </c>
      <c r="G121" s="8" t="s">
        <v>14</v>
      </c>
      <c r="H121" s="8" t="s">
        <v>24</v>
      </c>
      <c r="I121" s="8">
        <v>79.0</v>
      </c>
      <c r="J121" s="8" t="s">
        <v>271</v>
      </c>
      <c r="K121" s="2"/>
      <c r="L121" s="2"/>
      <c r="M121" s="2"/>
      <c r="N121" s="2"/>
      <c r="O121" s="2"/>
      <c r="P121" s="2"/>
      <c r="Q121" s="2"/>
      <c r="R121" s="2"/>
      <c r="S121" s="2"/>
      <c r="T121" s="2"/>
      <c r="U121" s="2"/>
      <c r="V121" s="2"/>
      <c r="W121" s="2"/>
      <c r="X121" s="2"/>
      <c r="Y121" s="2"/>
    </row>
    <row r="122" ht="15.75" customHeight="1">
      <c r="A122" s="20">
        <f t="shared" si="1"/>
        <v>120</v>
      </c>
      <c r="B122" s="9">
        <v>45952.0</v>
      </c>
      <c r="C122" s="8" t="s">
        <v>11</v>
      </c>
      <c r="D122" s="8" t="s">
        <v>272</v>
      </c>
      <c r="E122" s="8" t="s">
        <v>183</v>
      </c>
      <c r="F122" s="8" t="b">
        <v>0</v>
      </c>
      <c r="G122" s="8" t="s">
        <v>23</v>
      </c>
      <c r="H122" s="8" t="s">
        <v>15</v>
      </c>
      <c r="I122" s="8">
        <v>4.0</v>
      </c>
      <c r="J122" s="8" t="s">
        <v>273</v>
      </c>
      <c r="K122" s="2"/>
      <c r="L122" s="2"/>
      <c r="M122" s="2"/>
      <c r="N122" s="2"/>
      <c r="O122" s="2"/>
      <c r="P122" s="2"/>
      <c r="Q122" s="2"/>
      <c r="R122" s="2"/>
      <c r="S122" s="2"/>
      <c r="T122" s="2"/>
      <c r="U122" s="2"/>
      <c r="V122" s="2"/>
      <c r="W122" s="2"/>
      <c r="X122" s="2"/>
      <c r="Y122" s="2"/>
    </row>
    <row r="123" ht="25.5" customHeight="1">
      <c r="A123" s="20">
        <f t="shared" si="1"/>
        <v>121</v>
      </c>
      <c r="B123" s="9">
        <v>45952.0</v>
      </c>
      <c r="C123" s="8" t="s">
        <v>11</v>
      </c>
      <c r="D123" s="8" t="s">
        <v>274</v>
      </c>
      <c r="E123" s="8" t="s">
        <v>183</v>
      </c>
      <c r="F123" s="8" t="b">
        <v>0</v>
      </c>
      <c r="G123" s="8" t="s">
        <v>23</v>
      </c>
      <c r="H123" s="8" t="s">
        <v>24</v>
      </c>
      <c r="I123" s="8">
        <v>16.0</v>
      </c>
      <c r="J123" s="8" t="s">
        <v>275</v>
      </c>
      <c r="K123" s="2"/>
      <c r="L123" s="2"/>
      <c r="M123" s="2"/>
      <c r="N123" s="2"/>
      <c r="O123" s="2"/>
      <c r="P123" s="2"/>
      <c r="Q123" s="2"/>
      <c r="R123" s="2"/>
      <c r="S123" s="2"/>
      <c r="T123" s="2"/>
      <c r="U123" s="2"/>
      <c r="V123" s="2"/>
      <c r="W123" s="2"/>
      <c r="X123" s="2"/>
      <c r="Y123" s="2"/>
    </row>
    <row r="124" ht="27.75" customHeight="1">
      <c r="A124" s="20">
        <f t="shared" si="1"/>
        <v>122</v>
      </c>
      <c r="B124" s="9">
        <v>45952.0</v>
      </c>
      <c r="C124" s="8" t="s">
        <v>11</v>
      </c>
      <c r="D124" s="8" t="s">
        <v>276</v>
      </c>
      <c r="E124" s="8" t="s">
        <v>183</v>
      </c>
      <c r="F124" s="8" t="b">
        <v>0</v>
      </c>
      <c r="G124" s="8" t="s">
        <v>23</v>
      </c>
      <c r="H124" s="8" t="s">
        <v>24</v>
      </c>
      <c r="I124" s="8">
        <v>16.0</v>
      </c>
      <c r="J124" s="8" t="s">
        <v>277</v>
      </c>
      <c r="K124" s="2"/>
      <c r="L124" s="2"/>
      <c r="M124" s="2"/>
      <c r="N124" s="2"/>
      <c r="O124" s="2"/>
      <c r="P124" s="2"/>
      <c r="Q124" s="2"/>
      <c r="R124" s="2"/>
      <c r="S124" s="2"/>
      <c r="T124" s="2"/>
      <c r="U124" s="2"/>
      <c r="V124" s="2"/>
      <c r="W124" s="2"/>
      <c r="X124" s="2"/>
      <c r="Y124" s="2"/>
    </row>
    <row r="125" ht="15.75" customHeight="1">
      <c r="A125" s="20">
        <f t="shared" si="1"/>
        <v>123</v>
      </c>
      <c r="B125" s="9">
        <v>45952.0</v>
      </c>
      <c r="C125" s="8" t="s">
        <v>11</v>
      </c>
      <c r="D125" s="8" t="s">
        <v>278</v>
      </c>
      <c r="E125" s="8" t="s">
        <v>279</v>
      </c>
      <c r="F125" s="8" t="b">
        <v>0</v>
      </c>
      <c r="G125" s="8" t="s">
        <v>23</v>
      </c>
      <c r="H125" s="8" t="s">
        <v>15</v>
      </c>
      <c r="I125" s="8">
        <v>9.0</v>
      </c>
      <c r="J125" s="8" t="s">
        <v>280</v>
      </c>
      <c r="K125" s="2"/>
      <c r="L125" s="2"/>
      <c r="M125" s="2"/>
      <c r="N125" s="2"/>
      <c r="O125" s="2"/>
      <c r="P125" s="2"/>
      <c r="Q125" s="2"/>
      <c r="R125" s="2"/>
      <c r="S125" s="2"/>
      <c r="T125" s="2"/>
      <c r="U125" s="2"/>
      <c r="V125" s="2"/>
      <c r="W125" s="2"/>
      <c r="X125" s="2"/>
      <c r="Y125" s="2"/>
    </row>
    <row r="126" ht="15.0" customHeight="1">
      <c r="A126" s="20">
        <f t="shared" si="1"/>
        <v>124</v>
      </c>
      <c r="B126" s="9">
        <v>45952.0</v>
      </c>
      <c r="C126" s="8" t="s">
        <v>11</v>
      </c>
      <c r="D126" s="8" t="s">
        <v>281</v>
      </c>
      <c r="E126" s="8" t="s">
        <v>279</v>
      </c>
      <c r="F126" s="8" t="b">
        <v>0</v>
      </c>
      <c r="G126" s="8" t="s">
        <v>23</v>
      </c>
      <c r="H126" s="8" t="s">
        <v>15</v>
      </c>
      <c r="I126" s="8">
        <v>5.0</v>
      </c>
      <c r="J126" s="8" t="s">
        <v>282</v>
      </c>
      <c r="K126" s="2"/>
      <c r="L126" s="2"/>
      <c r="M126" s="2"/>
      <c r="N126" s="2"/>
      <c r="O126" s="2"/>
      <c r="P126" s="2"/>
      <c r="Q126" s="2"/>
      <c r="R126" s="2"/>
      <c r="S126" s="2"/>
      <c r="T126" s="2"/>
      <c r="U126" s="2"/>
      <c r="V126" s="2"/>
      <c r="W126" s="2"/>
      <c r="X126" s="2"/>
      <c r="Y126" s="2"/>
    </row>
    <row r="127" ht="14.25" customHeight="1">
      <c r="A127" s="20">
        <f t="shared" si="1"/>
        <v>125</v>
      </c>
      <c r="B127" s="9">
        <v>45952.0</v>
      </c>
      <c r="C127" s="8" t="s">
        <v>11</v>
      </c>
      <c r="D127" s="8" t="s">
        <v>283</v>
      </c>
      <c r="E127" s="22" t="s">
        <v>77</v>
      </c>
      <c r="F127" s="8" t="b">
        <v>0</v>
      </c>
      <c r="G127" s="8" t="s">
        <v>23</v>
      </c>
      <c r="H127" s="8" t="s">
        <v>24</v>
      </c>
      <c r="I127" s="8">
        <v>32.0</v>
      </c>
      <c r="J127" s="8" t="s">
        <v>284</v>
      </c>
      <c r="K127" s="2"/>
      <c r="L127" s="2"/>
      <c r="M127" s="2"/>
      <c r="N127" s="2"/>
      <c r="O127" s="2"/>
      <c r="P127" s="2"/>
      <c r="Q127" s="2"/>
      <c r="R127" s="2"/>
      <c r="S127" s="2"/>
      <c r="T127" s="2"/>
      <c r="U127" s="2"/>
      <c r="V127" s="2"/>
      <c r="W127" s="2"/>
      <c r="X127" s="2"/>
      <c r="Y127" s="2"/>
    </row>
    <row r="128" ht="16.5" customHeight="1">
      <c r="A128" s="20">
        <f t="shared" si="1"/>
        <v>126</v>
      </c>
      <c r="B128" s="9">
        <v>45954.0</v>
      </c>
      <c r="C128" s="8" t="s">
        <v>11</v>
      </c>
      <c r="D128" s="8" t="s">
        <v>285</v>
      </c>
      <c r="E128" s="22" t="s">
        <v>229</v>
      </c>
      <c r="F128" s="8" t="s">
        <v>14</v>
      </c>
      <c r="G128" s="8" t="s">
        <v>14</v>
      </c>
      <c r="H128" s="8" t="s">
        <v>24</v>
      </c>
      <c r="I128" s="8">
        <v>2.0</v>
      </c>
      <c r="J128" s="8" t="s">
        <v>286</v>
      </c>
      <c r="K128" s="23" t="s">
        <v>287</v>
      </c>
      <c r="L128" s="2"/>
      <c r="M128" s="2"/>
      <c r="N128" s="2"/>
      <c r="O128" s="2"/>
      <c r="P128" s="2"/>
      <c r="Q128" s="2"/>
      <c r="R128" s="2"/>
      <c r="S128" s="2"/>
      <c r="T128" s="2"/>
      <c r="U128" s="2"/>
      <c r="V128" s="2"/>
      <c r="W128" s="2"/>
      <c r="X128" s="2"/>
      <c r="Y128" s="2"/>
    </row>
    <row r="129" ht="15.75" customHeight="1">
      <c r="A129" s="20">
        <f t="shared" si="1"/>
        <v>127</v>
      </c>
      <c r="B129" s="9">
        <v>45954.0</v>
      </c>
      <c r="C129" s="8" t="s">
        <v>11</v>
      </c>
      <c r="D129" s="8" t="s">
        <v>288</v>
      </c>
      <c r="E129" s="22" t="s">
        <v>229</v>
      </c>
      <c r="F129" s="8" t="s">
        <v>14</v>
      </c>
      <c r="G129" s="8" t="s">
        <v>14</v>
      </c>
      <c r="H129" s="8" t="s">
        <v>24</v>
      </c>
      <c r="I129" s="8">
        <v>32.0</v>
      </c>
      <c r="J129" s="8" t="s">
        <v>289</v>
      </c>
      <c r="K129" s="23" t="s">
        <v>287</v>
      </c>
      <c r="L129" s="2"/>
      <c r="M129" s="2"/>
      <c r="N129" s="2"/>
      <c r="O129" s="2"/>
      <c r="P129" s="2"/>
      <c r="Q129" s="2"/>
      <c r="R129" s="2"/>
      <c r="S129" s="2"/>
      <c r="T129" s="2"/>
      <c r="U129" s="2"/>
      <c r="V129" s="2"/>
      <c r="W129" s="2"/>
      <c r="X129" s="2"/>
      <c r="Y129" s="2"/>
    </row>
    <row r="130" ht="14.25" customHeight="1">
      <c r="A130" s="20">
        <f t="shared" si="1"/>
        <v>128</v>
      </c>
      <c r="B130" s="9">
        <v>45954.0</v>
      </c>
      <c r="C130" s="8" t="s">
        <v>11</v>
      </c>
      <c r="D130" s="8" t="s">
        <v>290</v>
      </c>
      <c r="E130" s="22" t="s">
        <v>229</v>
      </c>
      <c r="F130" s="8" t="s">
        <v>14</v>
      </c>
      <c r="G130" s="8" t="s">
        <v>14</v>
      </c>
      <c r="H130" s="8" t="s">
        <v>24</v>
      </c>
      <c r="I130" s="8">
        <v>30.0</v>
      </c>
      <c r="J130" s="8" t="s">
        <v>291</v>
      </c>
      <c r="K130" s="2"/>
      <c r="L130" s="2"/>
      <c r="M130" s="2"/>
      <c r="N130" s="2"/>
      <c r="O130" s="2"/>
      <c r="P130" s="2"/>
      <c r="Q130" s="2"/>
      <c r="R130" s="2"/>
      <c r="S130" s="2"/>
      <c r="T130" s="2"/>
      <c r="U130" s="2"/>
      <c r="V130" s="2"/>
      <c r="W130" s="2"/>
      <c r="X130" s="2"/>
      <c r="Y130" s="2"/>
    </row>
    <row r="131" ht="14.25" customHeight="1">
      <c r="A131" s="20">
        <f t="shared" si="1"/>
        <v>129</v>
      </c>
      <c r="B131" s="9">
        <v>45954.0</v>
      </c>
      <c r="C131" s="8" t="s">
        <v>36</v>
      </c>
      <c r="D131" s="8" t="s">
        <v>292</v>
      </c>
      <c r="E131" s="22" t="s">
        <v>196</v>
      </c>
      <c r="F131" s="8" t="s">
        <v>14</v>
      </c>
      <c r="G131" s="8" t="s">
        <v>14</v>
      </c>
      <c r="H131" s="8" t="s">
        <v>24</v>
      </c>
      <c r="I131" s="8">
        <v>54.0</v>
      </c>
      <c r="J131" s="8" t="s">
        <v>293</v>
      </c>
      <c r="K131" s="2"/>
      <c r="L131" s="2"/>
      <c r="M131" s="2"/>
      <c r="N131" s="2"/>
      <c r="O131" s="2"/>
      <c r="P131" s="2"/>
      <c r="Q131" s="2"/>
      <c r="R131" s="2"/>
      <c r="S131" s="2"/>
      <c r="T131" s="2"/>
      <c r="U131" s="2"/>
      <c r="V131" s="2"/>
      <c r="W131" s="2"/>
      <c r="X131" s="2"/>
      <c r="Y131" s="2"/>
    </row>
    <row r="132" ht="16.5" customHeight="1">
      <c r="A132" s="20">
        <f t="shared" si="1"/>
        <v>130</v>
      </c>
      <c r="B132" s="9">
        <v>45956.0</v>
      </c>
      <c r="C132" s="8" t="s">
        <v>36</v>
      </c>
      <c r="D132" s="8" t="s">
        <v>294</v>
      </c>
      <c r="E132" s="8" t="s">
        <v>107</v>
      </c>
      <c r="F132" s="8" t="b">
        <v>0</v>
      </c>
      <c r="G132" s="8" t="s">
        <v>23</v>
      </c>
      <c r="H132" s="8" t="s">
        <v>24</v>
      </c>
      <c r="I132" s="8">
        <v>56.0</v>
      </c>
      <c r="J132" s="8" t="s">
        <v>295</v>
      </c>
      <c r="K132" s="2"/>
      <c r="L132" s="2"/>
      <c r="M132" s="2"/>
      <c r="N132" s="2"/>
      <c r="O132" s="2"/>
      <c r="P132" s="2"/>
      <c r="Q132" s="2"/>
      <c r="R132" s="2"/>
      <c r="S132" s="2"/>
      <c r="T132" s="2"/>
      <c r="U132" s="2"/>
      <c r="V132" s="2"/>
      <c r="W132" s="2"/>
      <c r="X132" s="2"/>
      <c r="Y132" s="2"/>
    </row>
    <row r="133" ht="15.0" customHeight="1">
      <c r="A133" s="20">
        <f t="shared" si="1"/>
        <v>131</v>
      </c>
      <c r="B133" s="9">
        <v>45956.0</v>
      </c>
      <c r="C133" s="8" t="s">
        <v>36</v>
      </c>
      <c r="D133" s="8" t="s">
        <v>296</v>
      </c>
      <c r="E133" s="22" t="s">
        <v>229</v>
      </c>
      <c r="F133" s="8" t="b">
        <v>0</v>
      </c>
      <c r="G133" s="8"/>
      <c r="H133" s="8"/>
      <c r="I133" s="19"/>
      <c r="J133" s="8" t="s">
        <v>297</v>
      </c>
      <c r="K133" s="2"/>
      <c r="L133" s="2"/>
      <c r="M133" s="2"/>
      <c r="N133" s="2"/>
      <c r="O133" s="2"/>
      <c r="P133" s="2"/>
      <c r="Q133" s="2"/>
      <c r="R133" s="2"/>
      <c r="S133" s="2"/>
      <c r="T133" s="2"/>
      <c r="U133" s="2"/>
      <c r="V133" s="2"/>
      <c r="W133" s="2"/>
      <c r="X133" s="2"/>
      <c r="Y133" s="2"/>
    </row>
    <row r="134" ht="26.25" customHeight="1">
      <c r="A134" s="20">
        <f t="shared" si="1"/>
        <v>132</v>
      </c>
      <c r="B134" s="9">
        <v>45956.0</v>
      </c>
      <c r="C134" s="8" t="s">
        <v>36</v>
      </c>
      <c r="D134" s="8" t="s">
        <v>298</v>
      </c>
      <c r="E134" s="22" t="s">
        <v>77</v>
      </c>
      <c r="F134" s="8" t="s">
        <v>14</v>
      </c>
      <c r="G134" s="8" t="s">
        <v>14</v>
      </c>
      <c r="H134" s="8" t="s">
        <v>24</v>
      </c>
      <c r="I134" s="8">
        <v>57.0</v>
      </c>
      <c r="J134" s="8" t="s">
        <v>299</v>
      </c>
      <c r="K134" s="2"/>
      <c r="L134" s="2"/>
      <c r="M134" s="2"/>
      <c r="N134" s="2"/>
      <c r="O134" s="2"/>
      <c r="P134" s="2"/>
      <c r="Q134" s="2"/>
      <c r="R134" s="2"/>
      <c r="S134" s="2"/>
      <c r="T134" s="2"/>
      <c r="U134" s="2"/>
      <c r="V134" s="2"/>
      <c r="W134" s="2"/>
      <c r="X134" s="2"/>
      <c r="Y134" s="2"/>
    </row>
    <row r="135" ht="16.5" customHeight="1">
      <c r="A135" s="20">
        <f t="shared" si="1"/>
        <v>133</v>
      </c>
      <c r="B135" s="9">
        <v>45956.0</v>
      </c>
      <c r="C135" s="8" t="s">
        <v>36</v>
      </c>
      <c r="D135" s="8" t="s">
        <v>300</v>
      </c>
      <c r="E135" s="22" t="s">
        <v>301</v>
      </c>
      <c r="F135" s="8" t="s">
        <v>14</v>
      </c>
      <c r="G135" s="8" t="s">
        <v>14</v>
      </c>
      <c r="H135" s="8" t="s">
        <v>24</v>
      </c>
      <c r="I135" s="8">
        <v>58.0</v>
      </c>
      <c r="J135" s="8" t="s">
        <v>302</v>
      </c>
      <c r="K135" s="2"/>
      <c r="L135" s="2"/>
      <c r="M135" s="2"/>
      <c r="N135" s="2"/>
      <c r="O135" s="2"/>
      <c r="P135" s="2"/>
      <c r="Q135" s="2"/>
      <c r="R135" s="2"/>
      <c r="S135" s="2"/>
      <c r="T135" s="2"/>
      <c r="U135" s="2"/>
      <c r="V135" s="2"/>
      <c r="W135" s="2"/>
      <c r="X135" s="2"/>
      <c r="Y135" s="2"/>
    </row>
    <row r="136" ht="26.25" customHeight="1">
      <c r="A136" s="20">
        <f t="shared" si="1"/>
        <v>134</v>
      </c>
      <c r="B136" s="9">
        <v>45956.0</v>
      </c>
      <c r="C136" s="8" t="s">
        <v>36</v>
      </c>
      <c r="D136" s="8" t="s">
        <v>303</v>
      </c>
      <c r="E136" s="8" t="s">
        <v>107</v>
      </c>
      <c r="F136" s="8" t="s">
        <v>14</v>
      </c>
      <c r="G136" s="8" t="s">
        <v>14</v>
      </c>
      <c r="H136" s="8" t="s">
        <v>24</v>
      </c>
      <c r="I136" s="8">
        <v>59.0</v>
      </c>
      <c r="J136" s="8" t="s">
        <v>304</v>
      </c>
      <c r="K136" s="2"/>
      <c r="L136" s="2"/>
      <c r="M136" s="2"/>
      <c r="N136" s="2"/>
      <c r="O136" s="2"/>
      <c r="P136" s="2"/>
      <c r="Q136" s="2"/>
      <c r="R136" s="2"/>
      <c r="S136" s="2"/>
      <c r="T136" s="2"/>
      <c r="U136" s="2"/>
      <c r="V136" s="2"/>
      <c r="W136" s="2"/>
      <c r="X136" s="2"/>
      <c r="Y136" s="2"/>
    </row>
    <row r="137" ht="25.5" customHeight="1">
      <c r="A137" s="20">
        <f t="shared" si="1"/>
        <v>135</v>
      </c>
      <c r="B137" s="9">
        <v>45956.0</v>
      </c>
      <c r="C137" s="8" t="s">
        <v>36</v>
      </c>
      <c r="D137" s="8" t="s">
        <v>305</v>
      </c>
      <c r="E137" s="8" t="s">
        <v>306</v>
      </c>
      <c r="F137" s="8" t="s">
        <v>14</v>
      </c>
      <c r="G137" s="8" t="s">
        <v>14</v>
      </c>
      <c r="H137" s="8" t="s">
        <v>24</v>
      </c>
      <c r="I137" s="8">
        <v>60.0</v>
      </c>
      <c r="J137" s="8" t="s">
        <v>307</v>
      </c>
      <c r="K137" s="2"/>
      <c r="L137" s="2"/>
      <c r="M137" s="2"/>
      <c r="N137" s="2"/>
      <c r="O137" s="2"/>
      <c r="P137" s="2"/>
      <c r="Q137" s="2"/>
      <c r="R137" s="2"/>
      <c r="S137" s="2"/>
      <c r="T137" s="2"/>
      <c r="U137" s="2"/>
      <c r="V137" s="2"/>
      <c r="W137" s="2"/>
      <c r="X137" s="2"/>
      <c r="Y137" s="2"/>
    </row>
    <row r="138" ht="27.0" customHeight="1">
      <c r="A138" s="20">
        <f t="shared" si="1"/>
        <v>136</v>
      </c>
      <c r="B138" s="9">
        <v>45956.0</v>
      </c>
      <c r="C138" s="8" t="s">
        <v>36</v>
      </c>
      <c r="D138" s="8" t="s">
        <v>308</v>
      </c>
      <c r="E138" s="8" t="s">
        <v>55</v>
      </c>
      <c r="F138" s="8" t="b">
        <v>0</v>
      </c>
      <c r="G138" s="8" t="s">
        <v>23</v>
      </c>
      <c r="H138" s="8" t="s">
        <v>24</v>
      </c>
      <c r="I138" s="8">
        <v>38.0</v>
      </c>
      <c r="J138" s="12" t="s">
        <v>309</v>
      </c>
      <c r="K138" s="2"/>
      <c r="L138" s="2"/>
      <c r="M138" s="2"/>
      <c r="N138" s="2"/>
      <c r="O138" s="2"/>
      <c r="P138" s="2"/>
      <c r="Q138" s="2"/>
      <c r="R138" s="2"/>
      <c r="S138" s="2"/>
      <c r="T138" s="2"/>
      <c r="U138" s="2"/>
      <c r="V138" s="2"/>
      <c r="W138" s="2"/>
      <c r="X138" s="2"/>
      <c r="Y138" s="2"/>
    </row>
    <row r="139" ht="24.75" customHeight="1">
      <c r="A139" s="20">
        <f t="shared" si="1"/>
        <v>137</v>
      </c>
      <c r="B139" s="9">
        <v>45958.0</v>
      </c>
      <c r="C139" s="8" t="s">
        <v>36</v>
      </c>
      <c r="D139" s="8" t="s">
        <v>177</v>
      </c>
      <c r="E139" s="8" t="s">
        <v>87</v>
      </c>
      <c r="F139" s="8" t="s">
        <v>14</v>
      </c>
      <c r="G139" s="8" t="s">
        <v>14</v>
      </c>
      <c r="H139" s="8" t="s">
        <v>24</v>
      </c>
      <c r="I139" s="8">
        <v>61.0</v>
      </c>
      <c r="J139" s="8" t="s">
        <v>310</v>
      </c>
      <c r="K139" s="2"/>
      <c r="L139" s="2"/>
      <c r="M139" s="2"/>
      <c r="N139" s="2"/>
      <c r="O139" s="2"/>
      <c r="P139" s="2"/>
      <c r="Q139" s="2"/>
      <c r="R139" s="2"/>
      <c r="S139" s="2"/>
      <c r="T139" s="2"/>
      <c r="U139" s="2"/>
      <c r="V139" s="2"/>
      <c r="W139" s="2"/>
      <c r="X139" s="2"/>
      <c r="Y139" s="2"/>
    </row>
    <row r="140" ht="15.0" customHeight="1">
      <c r="A140" s="20">
        <f t="shared" si="1"/>
        <v>138</v>
      </c>
      <c r="B140" s="9">
        <v>45958.0</v>
      </c>
      <c r="C140" s="8" t="s">
        <v>36</v>
      </c>
      <c r="D140" s="8" t="s">
        <v>311</v>
      </c>
      <c r="E140" s="8" t="s">
        <v>87</v>
      </c>
      <c r="F140" s="8" t="s">
        <v>14</v>
      </c>
      <c r="G140" s="8" t="s">
        <v>14</v>
      </c>
      <c r="H140" s="8" t="s">
        <v>24</v>
      </c>
      <c r="I140" s="8">
        <v>61.0</v>
      </c>
      <c r="J140" s="8" t="s">
        <v>312</v>
      </c>
      <c r="K140" s="2"/>
      <c r="L140" s="2"/>
      <c r="M140" s="2"/>
      <c r="N140" s="2"/>
      <c r="O140" s="2"/>
      <c r="P140" s="2"/>
      <c r="Q140" s="2"/>
      <c r="R140" s="2"/>
      <c r="S140" s="2"/>
      <c r="T140" s="2"/>
      <c r="U140" s="2"/>
      <c r="V140" s="2"/>
      <c r="W140" s="2"/>
      <c r="X140" s="2"/>
      <c r="Y140" s="2"/>
    </row>
    <row r="141" ht="15.0" customHeight="1">
      <c r="A141" s="20">
        <f t="shared" si="1"/>
        <v>139</v>
      </c>
      <c r="B141" s="9">
        <v>45958.0</v>
      </c>
      <c r="C141" s="8" t="s">
        <v>36</v>
      </c>
      <c r="D141" s="8" t="s">
        <v>313</v>
      </c>
      <c r="E141" s="8" t="s">
        <v>314</v>
      </c>
      <c r="F141" s="8" t="s">
        <v>14</v>
      </c>
      <c r="G141" s="8" t="s">
        <v>14</v>
      </c>
      <c r="H141" s="8" t="s">
        <v>24</v>
      </c>
      <c r="I141" s="8">
        <v>22.0</v>
      </c>
      <c r="J141" s="8" t="s">
        <v>315</v>
      </c>
      <c r="K141" s="2"/>
      <c r="L141" s="2"/>
      <c r="M141" s="2"/>
      <c r="N141" s="2"/>
      <c r="O141" s="2"/>
      <c r="P141" s="2"/>
      <c r="Q141" s="2"/>
      <c r="R141" s="2"/>
      <c r="S141" s="2"/>
      <c r="T141" s="2"/>
      <c r="U141" s="2"/>
      <c r="V141" s="2"/>
      <c r="W141" s="2"/>
      <c r="X141" s="2"/>
      <c r="Y141" s="2"/>
    </row>
    <row r="142" ht="16.5" customHeight="1">
      <c r="A142" s="20">
        <f t="shared" si="1"/>
        <v>140</v>
      </c>
      <c r="B142" s="9">
        <v>45958.0</v>
      </c>
      <c r="C142" s="8" t="s">
        <v>11</v>
      </c>
      <c r="D142" s="8" t="s">
        <v>316</v>
      </c>
      <c r="E142" s="8" t="s">
        <v>87</v>
      </c>
      <c r="F142" s="8" t="s">
        <v>14</v>
      </c>
      <c r="G142" s="8" t="s">
        <v>14</v>
      </c>
      <c r="H142" s="8" t="s">
        <v>24</v>
      </c>
      <c r="I142" s="8">
        <v>23.0</v>
      </c>
      <c r="J142" s="8" t="s">
        <v>317</v>
      </c>
      <c r="K142" s="2"/>
      <c r="L142" s="2"/>
      <c r="M142" s="2"/>
      <c r="N142" s="2"/>
      <c r="O142" s="2"/>
      <c r="P142" s="2"/>
      <c r="Q142" s="2"/>
      <c r="R142" s="2"/>
      <c r="S142" s="2"/>
      <c r="T142" s="2"/>
      <c r="U142" s="2"/>
      <c r="V142" s="2"/>
      <c r="W142" s="2"/>
      <c r="X142" s="2"/>
      <c r="Y142" s="2"/>
    </row>
    <row r="143" ht="14.25" customHeight="1">
      <c r="A143" s="20">
        <f t="shared" si="1"/>
        <v>141</v>
      </c>
      <c r="B143" s="9">
        <v>45958.0</v>
      </c>
      <c r="C143" s="8" t="s">
        <v>11</v>
      </c>
      <c r="D143" s="8" t="s">
        <v>318</v>
      </c>
      <c r="E143" s="8" t="s">
        <v>87</v>
      </c>
      <c r="F143" s="8" t="s">
        <v>14</v>
      </c>
      <c r="G143" s="8" t="s">
        <v>14</v>
      </c>
      <c r="H143" s="8" t="s">
        <v>24</v>
      </c>
      <c r="I143" s="8">
        <v>22.0</v>
      </c>
      <c r="J143" s="8" t="s">
        <v>319</v>
      </c>
      <c r="K143" s="2"/>
      <c r="L143" s="2"/>
      <c r="M143" s="2"/>
      <c r="N143" s="2"/>
      <c r="O143" s="2"/>
      <c r="P143" s="2"/>
      <c r="Q143" s="2"/>
      <c r="R143" s="2"/>
      <c r="S143" s="2"/>
      <c r="T143" s="2"/>
      <c r="U143" s="2"/>
      <c r="V143" s="2"/>
      <c r="W143" s="2"/>
      <c r="X143" s="2"/>
      <c r="Y143" s="2"/>
    </row>
    <row r="144" ht="40.5" customHeight="1">
      <c r="A144" s="20">
        <f t="shared" si="1"/>
        <v>142</v>
      </c>
      <c r="B144" s="9">
        <v>45958.0</v>
      </c>
      <c r="C144" s="8" t="s">
        <v>11</v>
      </c>
      <c r="D144" s="8" t="s">
        <v>320</v>
      </c>
      <c r="E144" s="8" t="s">
        <v>87</v>
      </c>
      <c r="F144" s="8" t="s">
        <v>14</v>
      </c>
      <c r="G144" s="8"/>
      <c r="H144" s="8"/>
      <c r="I144" s="19"/>
      <c r="J144" s="8" t="s">
        <v>321</v>
      </c>
      <c r="K144" s="2"/>
      <c r="L144" s="2"/>
      <c r="M144" s="2"/>
      <c r="N144" s="2"/>
      <c r="O144" s="2"/>
      <c r="P144" s="2"/>
      <c r="Q144" s="2"/>
      <c r="R144" s="2"/>
      <c r="S144" s="2"/>
      <c r="T144" s="2"/>
      <c r="U144" s="2"/>
      <c r="V144" s="2"/>
      <c r="W144" s="2"/>
      <c r="X144" s="2"/>
      <c r="Y144" s="2"/>
    </row>
    <row r="145" ht="28.5" customHeight="1">
      <c r="A145" s="20">
        <f t="shared" si="1"/>
        <v>143</v>
      </c>
      <c r="B145" s="9">
        <v>45958.0</v>
      </c>
      <c r="C145" s="8" t="s">
        <v>11</v>
      </c>
      <c r="D145" s="8" t="s">
        <v>322</v>
      </c>
      <c r="E145" s="8" t="s">
        <v>87</v>
      </c>
      <c r="F145" s="8" t="s">
        <v>14</v>
      </c>
      <c r="G145" s="8"/>
      <c r="H145" s="8"/>
      <c r="I145" s="19"/>
      <c r="J145" s="8" t="s">
        <v>323</v>
      </c>
      <c r="K145" s="2"/>
      <c r="L145" s="2"/>
      <c r="M145" s="2"/>
      <c r="N145" s="2"/>
      <c r="O145" s="2"/>
      <c r="P145" s="2"/>
      <c r="Q145" s="2"/>
      <c r="R145" s="2"/>
      <c r="S145" s="2"/>
      <c r="T145" s="2"/>
      <c r="U145" s="2"/>
      <c r="V145" s="2"/>
      <c r="W145" s="2"/>
      <c r="X145" s="2"/>
      <c r="Y145" s="2"/>
    </row>
    <row r="146" ht="39.0" customHeight="1">
      <c r="A146" s="20">
        <f t="shared" si="1"/>
        <v>144</v>
      </c>
      <c r="B146" s="9">
        <v>45958.0</v>
      </c>
      <c r="C146" s="8" t="s">
        <v>11</v>
      </c>
      <c r="D146" s="8" t="s">
        <v>324</v>
      </c>
      <c r="E146" s="8" t="s">
        <v>87</v>
      </c>
      <c r="F146" s="8" t="s">
        <v>14</v>
      </c>
      <c r="G146" s="8"/>
      <c r="H146" s="8"/>
      <c r="I146" s="19"/>
      <c r="J146" s="12" t="s">
        <v>325</v>
      </c>
      <c r="K146" s="2"/>
      <c r="L146" s="2"/>
      <c r="M146" s="2"/>
      <c r="N146" s="2"/>
      <c r="O146" s="2"/>
      <c r="P146" s="2"/>
      <c r="Q146" s="2"/>
      <c r="R146" s="2"/>
      <c r="S146" s="2"/>
      <c r="T146" s="2"/>
      <c r="U146" s="2"/>
      <c r="V146" s="2"/>
      <c r="W146" s="2"/>
      <c r="X146" s="2"/>
      <c r="Y146" s="2"/>
    </row>
    <row r="147">
      <c r="A147" s="20">
        <f t="shared" si="1"/>
        <v>145</v>
      </c>
      <c r="B147" s="9">
        <v>45958.0</v>
      </c>
      <c r="C147" s="8" t="s">
        <v>11</v>
      </c>
      <c r="D147" s="8" t="s">
        <v>326</v>
      </c>
      <c r="E147" s="8" t="s">
        <v>87</v>
      </c>
      <c r="F147" s="24"/>
      <c r="G147" s="24"/>
      <c r="H147" s="24"/>
      <c r="I147" s="19"/>
      <c r="J147" s="19"/>
      <c r="K147" s="2"/>
      <c r="L147" s="2"/>
      <c r="M147" s="2"/>
      <c r="N147" s="2"/>
      <c r="O147" s="2"/>
      <c r="P147" s="2"/>
      <c r="Q147" s="2"/>
      <c r="R147" s="2"/>
      <c r="S147" s="2"/>
      <c r="T147" s="2"/>
      <c r="U147" s="2"/>
      <c r="V147" s="2"/>
      <c r="W147" s="2"/>
      <c r="X147" s="2"/>
      <c r="Y147" s="2"/>
    </row>
    <row r="148">
      <c r="A148" s="25"/>
      <c r="B148" s="25"/>
      <c r="C148" s="25"/>
      <c r="D148" s="26"/>
      <c r="E148" s="26"/>
      <c r="F148" s="25"/>
      <c r="G148" s="25"/>
      <c r="H148" s="25"/>
      <c r="I148" s="26"/>
      <c r="J148" s="26"/>
      <c r="K148" s="2"/>
      <c r="L148" s="2"/>
      <c r="M148" s="2"/>
      <c r="N148" s="2"/>
      <c r="O148" s="2"/>
      <c r="P148" s="2"/>
      <c r="Q148" s="2"/>
      <c r="R148" s="2"/>
      <c r="S148" s="2"/>
      <c r="T148" s="2"/>
      <c r="U148" s="2"/>
      <c r="V148" s="2"/>
      <c r="W148" s="2"/>
      <c r="X148" s="2"/>
      <c r="Y148" s="2"/>
    </row>
    <row r="149">
      <c r="A149" s="25"/>
      <c r="B149" s="25"/>
      <c r="C149" s="25"/>
      <c r="D149" s="26"/>
      <c r="E149" s="26"/>
      <c r="F149" s="25"/>
      <c r="G149" s="25"/>
      <c r="H149" s="25"/>
      <c r="I149" s="26"/>
      <c r="J149" s="26"/>
      <c r="K149" s="2"/>
      <c r="L149" s="2"/>
      <c r="M149" s="2"/>
      <c r="N149" s="2"/>
      <c r="O149" s="2"/>
      <c r="P149" s="2"/>
      <c r="Q149" s="2"/>
      <c r="R149" s="2"/>
      <c r="S149" s="2"/>
      <c r="T149" s="2"/>
      <c r="U149" s="2"/>
      <c r="V149" s="2"/>
      <c r="W149" s="2"/>
      <c r="X149" s="2"/>
      <c r="Y149" s="2"/>
    </row>
    <row r="150">
      <c r="A150" s="25"/>
      <c r="B150" s="25"/>
      <c r="C150" s="25"/>
      <c r="D150" s="26"/>
      <c r="E150" s="26"/>
      <c r="F150" s="25"/>
      <c r="G150" s="25"/>
      <c r="H150" s="25"/>
      <c r="I150" s="26"/>
      <c r="J150" s="26"/>
      <c r="K150" s="2"/>
      <c r="L150" s="2"/>
      <c r="M150" s="2"/>
      <c r="N150" s="2"/>
      <c r="O150" s="2"/>
      <c r="P150" s="2"/>
      <c r="Q150" s="2"/>
      <c r="R150" s="2"/>
      <c r="S150" s="2"/>
      <c r="T150" s="2"/>
      <c r="U150" s="2"/>
      <c r="V150" s="2"/>
      <c r="W150" s="2"/>
      <c r="X150" s="2"/>
      <c r="Y150" s="2"/>
    </row>
    <row r="151">
      <c r="A151" s="25"/>
      <c r="B151" s="25"/>
      <c r="C151" s="25"/>
      <c r="D151" s="26"/>
      <c r="E151" s="26"/>
      <c r="F151" s="25"/>
      <c r="G151" s="25"/>
      <c r="H151" s="25"/>
      <c r="I151" s="26"/>
      <c r="J151" s="26"/>
      <c r="K151" s="2"/>
      <c r="L151" s="2"/>
      <c r="M151" s="2"/>
      <c r="N151" s="2"/>
      <c r="O151" s="2"/>
      <c r="P151" s="2"/>
      <c r="Q151" s="2"/>
      <c r="R151" s="2"/>
      <c r="S151" s="2"/>
      <c r="T151" s="2"/>
      <c r="U151" s="2"/>
      <c r="V151" s="2"/>
      <c r="W151" s="2"/>
      <c r="X151" s="2"/>
      <c r="Y151" s="2"/>
    </row>
    <row r="152">
      <c r="A152" s="25"/>
      <c r="B152" s="25"/>
      <c r="C152" s="25"/>
      <c r="D152" s="26"/>
      <c r="E152" s="26"/>
      <c r="F152" s="25"/>
      <c r="G152" s="25"/>
      <c r="H152" s="25"/>
      <c r="I152" s="26"/>
      <c r="J152" s="26"/>
      <c r="K152" s="2"/>
      <c r="L152" s="2"/>
      <c r="M152" s="2"/>
      <c r="N152" s="2"/>
      <c r="O152" s="2"/>
      <c r="P152" s="2"/>
      <c r="Q152" s="2"/>
      <c r="R152" s="2"/>
      <c r="S152" s="2"/>
      <c r="T152" s="2"/>
      <c r="U152" s="2"/>
      <c r="V152" s="2"/>
      <c r="W152" s="2"/>
      <c r="X152" s="2"/>
      <c r="Y152" s="2"/>
    </row>
    <row r="153">
      <c r="A153" s="25"/>
      <c r="B153" s="25"/>
      <c r="C153" s="25"/>
      <c r="D153" s="26"/>
      <c r="E153" s="26"/>
      <c r="F153" s="25"/>
      <c r="G153" s="25"/>
      <c r="H153" s="25"/>
      <c r="I153" s="26"/>
      <c r="J153" s="26"/>
      <c r="K153" s="2"/>
      <c r="L153" s="2"/>
      <c r="M153" s="2"/>
      <c r="N153" s="2"/>
      <c r="O153" s="2"/>
      <c r="P153" s="2"/>
      <c r="Q153" s="2"/>
      <c r="R153" s="2"/>
      <c r="S153" s="2"/>
      <c r="T153" s="2"/>
      <c r="U153" s="2"/>
      <c r="V153" s="2"/>
      <c r="W153" s="2"/>
      <c r="X153" s="2"/>
      <c r="Y153" s="2"/>
    </row>
    <row r="154">
      <c r="A154" s="25"/>
      <c r="B154" s="25"/>
      <c r="C154" s="25"/>
      <c r="D154" s="26"/>
      <c r="E154" s="26"/>
      <c r="F154" s="25"/>
      <c r="G154" s="25"/>
      <c r="H154" s="25"/>
      <c r="I154" s="26"/>
      <c r="J154" s="26"/>
      <c r="K154" s="2"/>
      <c r="L154" s="2"/>
      <c r="M154" s="2"/>
      <c r="N154" s="2"/>
      <c r="O154" s="2"/>
      <c r="P154" s="2"/>
      <c r="Q154" s="2"/>
      <c r="R154" s="2"/>
      <c r="S154" s="2"/>
      <c r="T154" s="2"/>
      <c r="U154" s="2"/>
      <c r="V154" s="2"/>
      <c r="W154" s="2"/>
      <c r="X154" s="2"/>
      <c r="Y154" s="2"/>
    </row>
    <row r="155">
      <c r="A155" s="25"/>
      <c r="B155" s="25"/>
      <c r="C155" s="25"/>
      <c r="D155" s="26"/>
      <c r="E155" s="26"/>
      <c r="F155" s="25"/>
      <c r="G155" s="25"/>
      <c r="H155" s="25"/>
      <c r="I155" s="26"/>
      <c r="J155" s="26"/>
      <c r="K155" s="2"/>
      <c r="L155" s="2"/>
      <c r="M155" s="2"/>
      <c r="N155" s="2"/>
      <c r="O155" s="2"/>
      <c r="P155" s="2"/>
      <c r="Q155" s="2"/>
      <c r="R155" s="2"/>
      <c r="S155" s="2"/>
      <c r="T155" s="2"/>
      <c r="U155" s="2"/>
      <c r="V155" s="2"/>
      <c r="W155" s="2"/>
      <c r="X155" s="2"/>
      <c r="Y155" s="2"/>
    </row>
    <row r="156">
      <c r="A156" s="25"/>
      <c r="B156" s="25"/>
      <c r="C156" s="25"/>
      <c r="D156" s="26"/>
      <c r="E156" s="26"/>
      <c r="F156" s="25"/>
      <c r="G156" s="25"/>
      <c r="H156" s="25"/>
      <c r="I156" s="26"/>
      <c r="J156" s="26"/>
      <c r="K156" s="2"/>
      <c r="L156" s="2"/>
      <c r="M156" s="2"/>
      <c r="N156" s="2"/>
      <c r="O156" s="2"/>
      <c r="P156" s="2"/>
      <c r="Q156" s="2"/>
      <c r="R156" s="2"/>
      <c r="S156" s="2"/>
      <c r="T156" s="2"/>
      <c r="U156" s="2"/>
      <c r="V156" s="2"/>
      <c r="W156" s="2"/>
      <c r="X156" s="2"/>
      <c r="Y156" s="2"/>
    </row>
    <row r="157">
      <c r="A157" s="25"/>
      <c r="B157" s="25"/>
      <c r="C157" s="25"/>
      <c r="D157" s="26"/>
      <c r="E157" s="26"/>
      <c r="F157" s="25"/>
      <c r="G157" s="25"/>
      <c r="H157" s="25"/>
      <c r="I157" s="26"/>
      <c r="J157" s="26"/>
      <c r="K157" s="2"/>
      <c r="L157" s="2"/>
      <c r="M157" s="2"/>
      <c r="N157" s="2"/>
      <c r="O157" s="2"/>
      <c r="P157" s="2"/>
      <c r="Q157" s="2"/>
      <c r="R157" s="2"/>
      <c r="S157" s="2"/>
      <c r="T157" s="2"/>
      <c r="U157" s="2"/>
      <c r="V157" s="2"/>
      <c r="W157" s="2"/>
      <c r="X157" s="2"/>
      <c r="Y157" s="2"/>
    </row>
    <row r="158">
      <c r="A158" s="25"/>
      <c r="B158" s="25"/>
      <c r="C158" s="25"/>
      <c r="D158" s="26"/>
      <c r="E158" s="26"/>
      <c r="F158" s="25"/>
      <c r="G158" s="25"/>
      <c r="H158" s="25"/>
      <c r="I158" s="26"/>
      <c r="J158" s="26"/>
      <c r="K158" s="2"/>
      <c r="L158" s="2"/>
      <c r="M158" s="2"/>
      <c r="N158" s="2"/>
      <c r="O158" s="2"/>
      <c r="P158" s="2"/>
      <c r="Q158" s="2"/>
      <c r="R158" s="2"/>
      <c r="S158" s="2"/>
      <c r="T158" s="2"/>
      <c r="U158" s="2"/>
      <c r="V158" s="2"/>
      <c r="W158" s="2"/>
      <c r="X158" s="2"/>
      <c r="Y158" s="2"/>
    </row>
    <row r="159">
      <c r="A159" s="25"/>
      <c r="B159" s="25"/>
      <c r="C159" s="25"/>
      <c r="D159" s="26"/>
      <c r="E159" s="26"/>
      <c r="F159" s="25"/>
      <c r="G159" s="25"/>
      <c r="H159" s="25"/>
      <c r="I159" s="26"/>
      <c r="J159" s="26"/>
      <c r="K159" s="2"/>
      <c r="L159" s="2"/>
      <c r="M159" s="2"/>
      <c r="N159" s="2"/>
      <c r="O159" s="2"/>
      <c r="P159" s="2"/>
      <c r="Q159" s="2"/>
      <c r="R159" s="2"/>
      <c r="S159" s="2"/>
      <c r="T159" s="2"/>
      <c r="U159" s="2"/>
      <c r="V159" s="2"/>
      <c r="W159" s="2"/>
      <c r="X159" s="2"/>
      <c r="Y159" s="2"/>
    </row>
    <row r="160">
      <c r="A160" s="25"/>
      <c r="B160" s="25"/>
      <c r="C160" s="25"/>
      <c r="D160" s="26"/>
      <c r="E160" s="26"/>
      <c r="F160" s="25"/>
      <c r="G160" s="25"/>
      <c r="H160" s="25"/>
      <c r="I160" s="26"/>
      <c r="J160" s="26"/>
      <c r="K160" s="2"/>
      <c r="L160" s="2"/>
      <c r="M160" s="2"/>
      <c r="N160" s="2"/>
      <c r="O160" s="2"/>
      <c r="P160" s="2"/>
      <c r="Q160" s="2"/>
      <c r="R160" s="2"/>
      <c r="S160" s="2"/>
      <c r="T160" s="2"/>
      <c r="U160" s="2"/>
      <c r="V160" s="2"/>
      <c r="W160" s="2"/>
      <c r="X160" s="2"/>
      <c r="Y160" s="2"/>
    </row>
    <row r="161">
      <c r="A161" s="25"/>
      <c r="B161" s="25"/>
      <c r="C161" s="25"/>
      <c r="D161" s="26"/>
      <c r="E161" s="26"/>
      <c r="F161" s="25"/>
      <c r="G161" s="25"/>
      <c r="H161" s="25"/>
      <c r="I161" s="26"/>
      <c r="J161" s="26"/>
      <c r="K161" s="2"/>
      <c r="L161" s="2"/>
      <c r="M161" s="2"/>
      <c r="N161" s="2"/>
      <c r="O161" s="2"/>
      <c r="P161" s="2"/>
      <c r="Q161" s="2"/>
      <c r="R161" s="2"/>
      <c r="S161" s="2"/>
      <c r="T161" s="2"/>
      <c r="U161" s="2"/>
      <c r="V161" s="2"/>
      <c r="W161" s="2"/>
      <c r="X161" s="2"/>
      <c r="Y161" s="2"/>
    </row>
    <row r="162">
      <c r="A162" s="25"/>
      <c r="B162" s="25"/>
      <c r="C162" s="25"/>
      <c r="D162" s="26"/>
      <c r="E162" s="26"/>
      <c r="F162" s="25"/>
      <c r="G162" s="25"/>
      <c r="H162" s="25"/>
      <c r="I162" s="26"/>
      <c r="J162" s="26"/>
      <c r="K162" s="2"/>
      <c r="L162" s="2"/>
      <c r="M162" s="2"/>
      <c r="N162" s="2"/>
      <c r="O162" s="2"/>
      <c r="P162" s="2"/>
      <c r="Q162" s="2"/>
      <c r="R162" s="2"/>
      <c r="S162" s="2"/>
      <c r="T162" s="2"/>
      <c r="U162" s="2"/>
      <c r="V162" s="2"/>
      <c r="W162" s="2"/>
      <c r="X162" s="2"/>
      <c r="Y162" s="2"/>
    </row>
    <row r="163">
      <c r="A163" s="25"/>
      <c r="B163" s="25"/>
      <c r="C163" s="25"/>
      <c r="D163" s="26"/>
      <c r="E163" s="26"/>
      <c r="F163" s="25"/>
      <c r="G163" s="25"/>
      <c r="H163" s="25"/>
      <c r="I163" s="26"/>
      <c r="J163" s="26"/>
      <c r="K163" s="2"/>
      <c r="L163" s="2"/>
      <c r="M163" s="2"/>
      <c r="N163" s="2"/>
      <c r="O163" s="2"/>
      <c r="P163" s="2"/>
      <c r="Q163" s="2"/>
      <c r="R163" s="2"/>
      <c r="S163" s="2"/>
      <c r="T163" s="2"/>
      <c r="U163" s="2"/>
      <c r="V163" s="2"/>
      <c r="W163" s="2"/>
      <c r="X163" s="2"/>
      <c r="Y163" s="2"/>
    </row>
    <row r="164">
      <c r="A164" s="25"/>
      <c r="B164" s="25"/>
      <c r="C164" s="25"/>
      <c r="D164" s="26"/>
      <c r="E164" s="26"/>
      <c r="F164" s="25"/>
      <c r="G164" s="25"/>
      <c r="H164" s="25"/>
      <c r="I164" s="26"/>
      <c r="J164" s="26"/>
      <c r="K164" s="2"/>
      <c r="L164" s="2"/>
      <c r="M164" s="2"/>
      <c r="N164" s="2"/>
      <c r="O164" s="2"/>
      <c r="P164" s="2"/>
      <c r="Q164" s="2"/>
      <c r="R164" s="2"/>
      <c r="S164" s="2"/>
      <c r="T164" s="2"/>
      <c r="U164" s="2"/>
      <c r="V164" s="2"/>
      <c r="W164" s="2"/>
      <c r="X164" s="2"/>
      <c r="Y164" s="2"/>
    </row>
    <row r="165">
      <c r="A165" s="25"/>
      <c r="B165" s="25"/>
      <c r="C165" s="25"/>
      <c r="D165" s="26"/>
      <c r="E165" s="26"/>
      <c r="F165" s="25"/>
      <c r="G165" s="25"/>
      <c r="H165" s="25"/>
      <c r="I165" s="26"/>
      <c r="J165" s="26"/>
      <c r="K165" s="2"/>
      <c r="L165" s="2"/>
      <c r="M165" s="2"/>
      <c r="N165" s="2"/>
      <c r="O165" s="2"/>
      <c r="P165" s="2"/>
      <c r="Q165" s="2"/>
      <c r="R165" s="2"/>
      <c r="S165" s="2"/>
      <c r="T165" s="2"/>
      <c r="U165" s="2"/>
      <c r="V165" s="2"/>
      <c r="W165" s="2"/>
      <c r="X165" s="2"/>
      <c r="Y165" s="2"/>
    </row>
    <row r="166">
      <c r="A166" s="25"/>
      <c r="B166" s="25"/>
      <c r="C166" s="25"/>
      <c r="D166" s="26"/>
      <c r="E166" s="26"/>
      <c r="F166" s="25"/>
      <c r="G166" s="25"/>
      <c r="H166" s="25"/>
      <c r="I166" s="26"/>
      <c r="J166" s="26"/>
      <c r="K166" s="2"/>
      <c r="L166" s="2"/>
      <c r="M166" s="2"/>
      <c r="N166" s="2"/>
      <c r="O166" s="2"/>
      <c r="P166" s="2"/>
      <c r="Q166" s="2"/>
      <c r="R166" s="2"/>
      <c r="S166" s="2"/>
      <c r="T166" s="2"/>
      <c r="U166" s="2"/>
      <c r="V166" s="2"/>
      <c r="W166" s="2"/>
      <c r="X166" s="2"/>
      <c r="Y166" s="2"/>
    </row>
    <row r="167">
      <c r="A167" s="25"/>
      <c r="B167" s="25"/>
      <c r="C167" s="25"/>
      <c r="D167" s="26"/>
      <c r="E167" s="26"/>
      <c r="F167" s="25"/>
      <c r="G167" s="25"/>
      <c r="H167" s="25"/>
      <c r="I167" s="26"/>
      <c r="J167" s="26"/>
      <c r="K167" s="2"/>
      <c r="L167" s="2"/>
      <c r="M167" s="2"/>
      <c r="N167" s="2"/>
      <c r="O167" s="2"/>
      <c r="P167" s="2"/>
      <c r="Q167" s="2"/>
      <c r="R167" s="2"/>
      <c r="S167" s="2"/>
      <c r="T167" s="2"/>
      <c r="U167" s="2"/>
      <c r="V167" s="2"/>
      <c r="W167" s="2"/>
      <c r="X167" s="2"/>
      <c r="Y167" s="2"/>
    </row>
    <row r="168">
      <c r="A168" s="25"/>
      <c r="B168" s="25"/>
      <c r="C168" s="25"/>
      <c r="D168" s="26"/>
      <c r="E168" s="26"/>
      <c r="F168" s="25"/>
      <c r="G168" s="25"/>
      <c r="H168" s="25"/>
      <c r="I168" s="26"/>
      <c r="J168" s="26"/>
      <c r="K168" s="2"/>
      <c r="L168" s="2"/>
      <c r="M168" s="2"/>
      <c r="N168" s="2"/>
      <c r="O168" s="2"/>
      <c r="P168" s="2"/>
      <c r="Q168" s="2"/>
      <c r="R168" s="2"/>
      <c r="S168" s="2"/>
      <c r="T168" s="2"/>
      <c r="U168" s="2"/>
      <c r="V168" s="2"/>
      <c r="W168" s="2"/>
      <c r="X168" s="2"/>
      <c r="Y168" s="2"/>
    </row>
    <row r="169">
      <c r="A169" s="25"/>
      <c r="B169" s="25"/>
      <c r="C169" s="25"/>
      <c r="D169" s="26"/>
      <c r="E169" s="26"/>
      <c r="F169" s="25"/>
      <c r="G169" s="25"/>
      <c r="H169" s="25"/>
      <c r="I169" s="26"/>
      <c r="J169" s="26"/>
      <c r="K169" s="2"/>
      <c r="L169" s="2"/>
      <c r="M169" s="2"/>
      <c r="N169" s="2"/>
      <c r="O169" s="2"/>
      <c r="P169" s="2"/>
      <c r="Q169" s="2"/>
      <c r="R169" s="2"/>
      <c r="S169" s="2"/>
      <c r="T169" s="2"/>
      <c r="U169" s="2"/>
      <c r="V169" s="2"/>
      <c r="W169" s="2"/>
      <c r="X169" s="2"/>
      <c r="Y169" s="2"/>
    </row>
    <row r="170">
      <c r="A170" s="25"/>
      <c r="B170" s="25"/>
      <c r="C170" s="25"/>
      <c r="D170" s="26"/>
      <c r="E170" s="26"/>
      <c r="F170" s="25"/>
      <c r="G170" s="25"/>
      <c r="H170" s="25"/>
      <c r="I170" s="26"/>
      <c r="J170" s="26"/>
      <c r="K170" s="2"/>
      <c r="L170" s="2"/>
      <c r="M170" s="2"/>
      <c r="N170" s="2"/>
      <c r="O170" s="2"/>
      <c r="P170" s="2"/>
      <c r="Q170" s="2"/>
      <c r="R170" s="2"/>
      <c r="S170" s="2"/>
      <c r="T170" s="2"/>
      <c r="U170" s="2"/>
      <c r="V170" s="2"/>
      <c r="W170" s="2"/>
      <c r="X170" s="2"/>
      <c r="Y170" s="2"/>
    </row>
    <row r="171">
      <c r="A171" s="25"/>
      <c r="B171" s="25"/>
      <c r="C171" s="25"/>
      <c r="D171" s="26"/>
      <c r="E171" s="26"/>
      <c r="F171" s="25"/>
      <c r="G171" s="25"/>
      <c r="H171" s="25"/>
      <c r="I171" s="26"/>
      <c r="J171" s="26"/>
      <c r="K171" s="2"/>
      <c r="L171" s="2"/>
      <c r="M171" s="2"/>
      <c r="N171" s="2"/>
      <c r="O171" s="2"/>
      <c r="P171" s="2"/>
      <c r="Q171" s="2"/>
      <c r="R171" s="2"/>
      <c r="S171" s="2"/>
      <c r="T171" s="2"/>
      <c r="U171" s="2"/>
      <c r="V171" s="2"/>
      <c r="W171" s="2"/>
      <c r="X171" s="2"/>
      <c r="Y171" s="2"/>
    </row>
    <row r="172">
      <c r="A172" s="25"/>
      <c r="B172" s="25"/>
      <c r="C172" s="25"/>
      <c r="D172" s="26"/>
      <c r="E172" s="26"/>
      <c r="F172" s="25"/>
      <c r="G172" s="25"/>
      <c r="H172" s="25"/>
      <c r="I172" s="26"/>
      <c r="J172" s="26"/>
      <c r="K172" s="2"/>
      <c r="L172" s="2"/>
      <c r="M172" s="2"/>
      <c r="N172" s="2"/>
      <c r="O172" s="2"/>
      <c r="P172" s="2"/>
      <c r="Q172" s="2"/>
      <c r="R172" s="2"/>
      <c r="S172" s="2"/>
      <c r="T172" s="2"/>
      <c r="U172" s="2"/>
      <c r="V172" s="2"/>
      <c r="W172" s="2"/>
      <c r="X172" s="2"/>
      <c r="Y172" s="2"/>
    </row>
    <row r="173">
      <c r="A173" s="25"/>
      <c r="B173" s="25"/>
      <c r="C173" s="25"/>
      <c r="D173" s="26"/>
      <c r="E173" s="26"/>
      <c r="F173" s="25"/>
      <c r="G173" s="25"/>
      <c r="H173" s="25"/>
      <c r="I173" s="26"/>
      <c r="J173" s="26"/>
      <c r="K173" s="2"/>
      <c r="L173" s="2"/>
      <c r="M173" s="2"/>
      <c r="N173" s="2"/>
      <c r="O173" s="2"/>
      <c r="P173" s="2"/>
      <c r="Q173" s="2"/>
      <c r="R173" s="2"/>
      <c r="S173" s="2"/>
      <c r="T173" s="2"/>
      <c r="U173" s="2"/>
      <c r="V173" s="2"/>
      <c r="W173" s="2"/>
      <c r="X173" s="2"/>
      <c r="Y173" s="2"/>
    </row>
    <row r="174">
      <c r="A174" s="25"/>
      <c r="B174" s="25"/>
      <c r="C174" s="25"/>
      <c r="D174" s="26"/>
      <c r="E174" s="26"/>
      <c r="F174" s="25"/>
      <c r="G174" s="25"/>
      <c r="H174" s="25"/>
      <c r="I174" s="26"/>
      <c r="J174" s="26"/>
      <c r="K174" s="2"/>
      <c r="L174" s="2"/>
      <c r="M174" s="2"/>
      <c r="N174" s="2"/>
      <c r="O174" s="2"/>
      <c r="P174" s="2"/>
      <c r="Q174" s="2"/>
      <c r="R174" s="2"/>
      <c r="S174" s="2"/>
      <c r="T174" s="2"/>
      <c r="U174" s="2"/>
      <c r="V174" s="2"/>
      <c r="W174" s="2"/>
      <c r="X174" s="2"/>
      <c r="Y174" s="2"/>
    </row>
    <row r="175">
      <c r="A175" s="25"/>
      <c r="B175" s="25"/>
      <c r="C175" s="25"/>
      <c r="D175" s="26"/>
      <c r="E175" s="26"/>
      <c r="F175" s="25"/>
      <c r="G175" s="25"/>
      <c r="H175" s="25"/>
      <c r="I175" s="26"/>
      <c r="J175" s="26"/>
      <c r="K175" s="2"/>
      <c r="L175" s="2"/>
      <c r="M175" s="2"/>
      <c r="N175" s="2"/>
      <c r="O175" s="2"/>
      <c r="P175" s="2"/>
      <c r="Q175" s="2"/>
      <c r="R175" s="2"/>
      <c r="S175" s="2"/>
      <c r="T175" s="2"/>
      <c r="U175" s="2"/>
      <c r="V175" s="2"/>
      <c r="W175" s="2"/>
      <c r="X175" s="2"/>
      <c r="Y175" s="2"/>
    </row>
    <row r="176">
      <c r="A176" s="25"/>
      <c r="B176" s="25"/>
      <c r="C176" s="25"/>
      <c r="D176" s="26"/>
      <c r="E176" s="26"/>
      <c r="F176" s="25"/>
      <c r="G176" s="25"/>
      <c r="H176" s="25"/>
      <c r="I176" s="26"/>
      <c r="J176" s="26"/>
      <c r="K176" s="2"/>
      <c r="L176" s="2"/>
      <c r="M176" s="2"/>
      <c r="N176" s="2"/>
      <c r="O176" s="2"/>
      <c r="P176" s="2"/>
      <c r="Q176" s="2"/>
      <c r="R176" s="2"/>
      <c r="S176" s="2"/>
      <c r="T176" s="2"/>
      <c r="U176" s="2"/>
      <c r="V176" s="2"/>
      <c r="W176" s="2"/>
      <c r="X176" s="2"/>
      <c r="Y176" s="2"/>
    </row>
    <row r="177">
      <c r="A177" s="25"/>
      <c r="B177" s="25"/>
      <c r="C177" s="25"/>
      <c r="D177" s="26"/>
      <c r="E177" s="26"/>
      <c r="F177" s="25"/>
      <c r="G177" s="25"/>
      <c r="H177" s="25"/>
      <c r="I177" s="26"/>
      <c r="J177" s="26"/>
      <c r="K177" s="2"/>
      <c r="L177" s="2"/>
      <c r="M177" s="2"/>
      <c r="N177" s="2"/>
      <c r="O177" s="2"/>
      <c r="P177" s="2"/>
      <c r="Q177" s="2"/>
      <c r="R177" s="2"/>
      <c r="S177" s="2"/>
      <c r="T177" s="2"/>
      <c r="U177" s="2"/>
      <c r="V177" s="2"/>
      <c r="W177" s="2"/>
      <c r="X177" s="2"/>
      <c r="Y177" s="2"/>
    </row>
    <row r="178">
      <c r="A178" s="25"/>
      <c r="B178" s="25"/>
      <c r="C178" s="25"/>
      <c r="D178" s="26"/>
      <c r="E178" s="26"/>
      <c r="F178" s="25"/>
      <c r="G178" s="25"/>
      <c r="H178" s="25"/>
      <c r="I178" s="26"/>
      <c r="J178" s="26"/>
      <c r="K178" s="2"/>
      <c r="L178" s="2"/>
      <c r="M178" s="2"/>
      <c r="N178" s="2"/>
      <c r="O178" s="2"/>
      <c r="P178" s="2"/>
      <c r="Q178" s="2"/>
      <c r="R178" s="2"/>
      <c r="S178" s="2"/>
      <c r="T178" s="2"/>
      <c r="U178" s="2"/>
      <c r="V178" s="2"/>
      <c r="W178" s="2"/>
      <c r="X178" s="2"/>
      <c r="Y178" s="2"/>
    </row>
    <row r="179">
      <c r="A179" s="25"/>
      <c r="B179" s="25"/>
      <c r="C179" s="25"/>
      <c r="D179" s="26"/>
      <c r="E179" s="26"/>
      <c r="F179" s="25"/>
      <c r="G179" s="25"/>
      <c r="H179" s="25"/>
      <c r="I179" s="26"/>
      <c r="J179" s="26"/>
      <c r="K179" s="2"/>
      <c r="L179" s="2"/>
      <c r="M179" s="2"/>
      <c r="N179" s="2"/>
      <c r="O179" s="2"/>
      <c r="P179" s="2"/>
      <c r="Q179" s="2"/>
      <c r="R179" s="2"/>
      <c r="S179" s="2"/>
      <c r="T179" s="2"/>
      <c r="U179" s="2"/>
      <c r="V179" s="2"/>
      <c r="W179" s="2"/>
      <c r="X179" s="2"/>
      <c r="Y179" s="2"/>
    </row>
    <row r="180">
      <c r="A180" s="25"/>
      <c r="B180" s="25"/>
      <c r="C180" s="25"/>
      <c r="D180" s="26"/>
      <c r="E180" s="26"/>
      <c r="F180" s="25"/>
      <c r="G180" s="25"/>
      <c r="H180" s="25"/>
      <c r="I180" s="26"/>
      <c r="J180" s="26"/>
      <c r="K180" s="2"/>
      <c r="L180" s="2"/>
      <c r="M180" s="2"/>
      <c r="N180" s="2"/>
      <c r="O180" s="2"/>
      <c r="P180" s="2"/>
      <c r="Q180" s="2"/>
      <c r="R180" s="2"/>
      <c r="S180" s="2"/>
      <c r="T180" s="2"/>
      <c r="U180" s="2"/>
      <c r="V180" s="2"/>
      <c r="W180" s="2"/>
      <c r="X180" s="2"/>
      <c r="Y180" s="2"/>
    </row>
    <row r="181">
      <c r="A181" s="25"/>
      <c r="B181" s="25"/>
      <c r="C181" s="25"/>
      <c r="D181" s="26"/>
      <c r="E181" s="26"/>
      <c r="F181" s="25"/>
      <c r="G181" s="25"/>
      <c r="H181" s="25"/>
      <c r="I181" s="26"/>
      <c r="J181" s="26"/>
      <c r="K181" s="2"/>
      <c r="L181" s="2"/>
      <c r="M181" s="2"/>
      <c r="N181" s="2"/>
      <c r="O181" s="2"/>
      <c r="P181" s="2"/>
      <c r="Q181" s="2"/>
      <c r="R181" s="2"/>
      <c r="S181" s="2"/>
      <c r="T181" s="2"/>
      <c r="U181" s="2"/>
      <c r="V181" s="2"/>
      <c r="W181" s="2"/>
      <c r="X181" s="2"/>
      <c r="Y181" s="2"/>
    </row>
    <row r="182">
      <c r="A182" s="25"/>
      <c r="B182" s="25"/>
      <c r="C182" s="25"/>
      <c r="D182" s="26"/>
      <c r="E182" s="26"/>
      <c r="F182" s="25"/>
      <c r="G182" s="25"/>
      <c r="H182" s="25"/>
      <c r="I182" s="26"/>
      <c r="J182" s="26"/>
      <c r="K182" s="2"/>
      <c r="L182" s="2"/>
      <c r="M182" s="2"/>
      <c r="N182" s="2"/>
      <c r="O182" s="2"/>
      <c r="P182" s="2"/>
      <c r="Q182" s="2"/>
      <c r="R182" s="2"/>
      <c r="S182" s="2"/>
      <c r="T182" s="2"/>
      <c r="U182" s="2"/>
      <c r="V182" s="2"/>
      <c r="W182" s="2"/>
      <c r="X182" s="2"/>
      <c r="Y182" s="2"/>
    </row>
    <row r="183">
      <c r="A183" s="25"/>
      <c r="B183" s="25"/>
      <c r="C183" s="25"/>
      <c r="D183" s="26"/>
      <c r="E183" s="26"/>
      <c r="F183" s="25"/>
      <c r="G183" s="25"/>
      <c r="H183" s="25"/>
      <c r="I183" s="26"/>
      <c r="J183" s="26"/>
      <c r="K183" s="2"/>
      <c r="L183" s="2"/>
      <c r="M183" s="2"/>
      <c r="N183" s="2"/>
      <c r="O183" s="2"/>
      <c r="P183" s="2"/>
      <c r="Q183" s="2"/>
      <c r="R183" s="2"/>
      <c r="S183" s="2"/>
      <c r="T183" s="2"/>
      <c r="U183" s="2"/>
      <c r="V183" s="2"/>
      <c r="W183" s="2"/>
      <c r="X183" s="2"/>
      <c r="Y183" s="2"/>
    </row>
    <row r="184">
      <c r="A184" s="25"/>
      <c r="B184" s="25"/>
      <c r="C184" s="25"/>
      <c r="D184" s="26"/>
      <c r="E184" s="26"/>
      <c r="F184" s="25"/>
      <c r="G184" s="25"/>
      <c r="H184" s="25"/>
      <c r="I184" s="26"/>
      <c r="J184" s="26"/>
      <c r="K184" s="2"/>
      <c r="L184" s="2"/>
      <c r="M184" s="2"/>
      <c r="N184" s="2"/>
      <c r="O184" s="2"/>
      <c r="P184" s="2"/>
      <c r="Q184" s="2"/>
      <c r="R184" s="2"/>
      <c r="S184" s="2"/>
      <c r="T184" s="2"/>
      <c r="U184" s="2"/>
      <c r="V184" s="2"/>
      <c r="W184" s="2"/>
      <c r="X184" s="2"/>
      <c r="Y184" s="2"/>
    </row>
    <row r="185">
      <c r="A185" s="25"/>
      <c r="B185" s="25"/>
      <c r="C185" s="25"/>
      <c r="D185" s="26"/>
      <c r="E185" s="26"/>
      <c r="F185" s="25"/>
      <c r="G185" s="25"/>
      <c r="H185" s="25"/>
      <c r="I185" s="26"/>
      <c r="J185" s="26"/>
      <c r="K185" s="2"/>
      <c r="L185" s="2"/>
      <c r="M185" s="2"/>
      <c r="N185" s="2"/>
      <c r="O185" s="2"/>
      <c r="P185" s="2"/>
      <c r="Q185" s="2"/>
      <c r="R185" s="2"/>
      <c r="S185" s="2"/>
      <c r="T185" s="2"/>
      <c r="U185" s="2"/>
      <c r="V185" s="2"/>
      <c r="W185" s="2"/>
      <c r="X185" s="2"/>
      <c r="Y185" s="2"/>
    </row>
    <row r="186">
      <c r="A186" s="25"/>
      <c r="B186" s="25"/>
      <c r="C186" s="25"/>
      <c r="D186" s="26"/>
      <c r="E186" s="26"/>
      <c r="F186" s="25"/>
      <c r="G186" s="25"/>
      <c r="H186" s="25"/>
      <c r="I186" s="26"/>
      <c r="J186" s="26"/>
      <c r="K186" s="2"/>
      <c r="L186" s="2"/>
      <c r="M186" s="2"/>
      <c r="N186" s="2"/>
      <c r="O186" s="2"/>
      <c r="P186" s="2"/>
      <c r="Q186" s="2"/>
      <c r="R186" s="2"/>
      <c r="S186" s="2"/>
      <c r="T186" s="2"/>
      <c r="U186" s="2"/>
      <c r="V186" s="2"/>
      <c r="W186" s="2"/>
      <c r="X186" s="2"/>
      <c r="Y186" s="2"/>
    </row>
    <row r="187">
      <c r="A187" s="25"/>
      <c r="B187" s="25"/>
      <c r="C187" s="25"/>
      <c r="D187" s="26"/>
      <c r="E187" s="26"/>
      <c r="F187" s="25"/>
      <c r="G187" s="25"/>
      <c r="H187" s="25"/>
      <c r="I187" s="26"/>
      <c r="J187" s="26"/>
      <c r="K187" s="2"/>
      <c r="L187" s="2"/>
      <c r="M187" s="2"/>
      <c r="N187" s="2"/>
      <c r="O187" s="2"/>
      <c r="P187" s="2"/>
      <c r="Q187" s="2"/>
      <c r="R187" s="2"/>
      <c r="S187" s="2"/>
      <c r="T187" s="2"/>
      <c r="U187" s="2"/>
      <c r="V187" s="2"/>
      <c r="W187" s="2"/>
      <c r="X187" s="2"/>
      <c r="Y187" s="2"/>
    </row>
    <row r="188">
      <c r="A188" s="25"/>
      <c r="B188" s="25"/>
      <c r="C188" s="25"/>
      <c r="D188" s="26"/>
      <c r="E188" s="26"/>
      <c r="F188" s="25"/>
      <c r="G188" s="25"/>
      <c r="H188" s="25"/>
      <c r="I188" s="26"/>
      <c r="J188" s="26"/>
      <c r="K188" s="2"/>
      <c r="L188" s="2"/>
      <c r="M188" s="2"/>
      <c r="N188" s="2"/>
      <c r="O188" s="2"/>
      <c r="P188" s="2"/>
      <c r="Q188" s="2"/>
      <c r="R188" s="2"/>
      <c r="S188" s="2"/>
      <c r="T188" s="2"/>
      <c r="U188" s="2"/>
      <c r="V188" s="2"/>
      <c r="W188" s="2"/>
      <c r="X188" s="2"/>
      <c r="Y188" s="2"/>
    </row>
    <row r="189">
      <c r="A189" s="25"/>
      <c r="B189" s="25"/>
      <c r="C189" s="25"/>
      <c r="D189" s="26"/>
      <c r="E189" s="26"/>
      <c r="F189" s="25"/>
      <c r="G189" s="25"/>
      <c r="H189" s="25"/>
      <c r="I189" s="26"/>
      <c r="J189" s="26"/>
      <c r="K189" s="2"/>
      <c r="L189" s="2"/>
      <c r="M189" s="2"/>
      <c r="N189" s="2"/>
      <c r="O189" s="2"/>
      <c r="P189" s="2"/>
      <c r="Q189" s="2"/>
      <c r="R189" s="2"/>
      <c r="S189" s="2"/>
      <c r="T189" s="2"/>
      <c r="U189" s="2"/>
      <c r="V189" s="2"/>
      <c r="W189" s="2"/>
      <c r="X189" s="2"/>
      <c r="Y189" s="2"/>
    </row>
    <row r="190">
      <c r="A190" s="25"/>
      <c r="B190" s="25"/>
      <c r="C190" s="25"/>
      <c r="D190" s="26"/>
      <c r="E190" s="26"/>
      <c r="F190" s="25"/>
      <c r="G190" s="25"/>
      <c r="H190" s="25"/>
      <c r="I190" s="26"/>
      <c r="J190" s="26"/>
      <c r="K190" s="2"/>
      <c r="L190" s="2"/>
      <c r="M190" s="2"/>
      <c r="N190" s="2"/>
      <c r="O190" s="2"/>
      <c r="P190" s="2"/>
      <c r="Q190" s="2"/>
      <c r="R190" s="2"/>
      <c r="S190" s="2"/>
      <c r="T190" s="2"/>
      <c r="U190" s="2"/>
      <c r="V190" s="2"/>
      <c r="W190" s="2"/>
      <c r="X190" s="2"/>
      <c r="Y190" s="2"/>
    </row>
    <row r="191">
      <c r="A191" s="25"/>
      <c r="B191" s="25"/>
      <c r="C191" s="25"/>
      <c r="D191" s="26"/>
      <c r="E191" s="26"/>
      <c r="F191" s="25"/>
      <c r="G191" s="25"/>
      <c r="H191" s="25"/>
      <c r="I191" s="26"/>
      <c r="J191" s="26"/>
      <c r="K191" s="2"/>
      <c r="L191" s="2"/>
      <c r="M191" s="2"/>
      <c r="N191" s="2"/>
      <c r="O191" s="2"/>
      <c r="P191" s="2"/>
      <c r="Q191" s="2"/>
      <c r="R191" s="2"/>
      <c r="S191" s="2"/>
      <c r="T191" s="2"/>
      <c r="U191" s="2"/>
      <c r="V191" s="2"/>
      <c r="W191" s="2"/>
      <c r="X191" s="2"/>
      <c r="Y191" s="2"/>
    </row>
    <row r="192">
      <c r="A192" s="25"/>
      <c r="B192" s="25"/>
      <c r="C192" s="25"/>
      <c r="D192" s="26"/>
      <c r="E192" s="26"/>
      <c r="F192" s="25"/>
      <c r="G192" s="25"/>
      <c r="H192" s="25"/>
      <c r="I192" s="26"/>
      <c r="J192" s="26"/>
      <c r="K192" s="2"/>
      <c r="L192" s="2"/>
      <c r="M192" s="2"/>
      <c r="N192" s="2"/>
      <c r="O192" s="2"/>
      <c r="P192" s="2"/>
      <c r="Q192" s="2"/>
      <c r="R192" s="2"/>
      <c r="S192" s="2"/>
      <c r="T192" s="2"/>
      <c r="U192" s="2"/>
      <c r="V192" s="2"/>
      <c r="W192" s="2"/>
      <c r="X192" s="2"/>
      <c r="Y192" s="2"/>
    </row>
    <row r="193">
      <c r="A193" s="25"/>
      <c r="B193" s="25"/>
      <c r="C193" s="25"/>
      <c r="D193" s="26"/>
      <c r="E193" s="26"/>
      <c r="F193" s="25"/>
      <c r="G193" s="25"/>
      <c r="H193" s="25"/>
      <c r="I193" s="26"/>
      <c r="J193" s="26"/>
      <c r="K193" s="2"/>
      <c r="L193" s="2"/>
      <c r="M193" s="2"/>
      <c r="N193" s="2"/>
      <c r="O193" s="2"/>
      <c r="P193" s="2"/>
      <c r="Q193" s="2"/>
      <c r="R193" s="2"/>
      <c r="S193" s="2"/>
      <c r="T193" s="2"/>
      <c r="U193" s="2"/>
      <c r="V193" s="2"/>
      <c r="W193" s="2"/>
      <c r="X193" s="2"/>
      <c r="Y193" s="2"/>
    </row>
    <row r="194">
      <c r="A194" s="25"/>
      <c r="B194" s="25"/>
      <c r="C194" s="25"/>
      <c r="D194" s="26"/>
      <c r="E194" s="26"/>
      <c r="F194" s="25"/>
      <c r="G194" s="25"/>
      <c r="H194" s="25"/>
      <c r="I194" s="26"/>
      <c r="J194" s="26"/>
      <c r="K194" s="2"/>
      <c r="L194" s="2"/>
      <c r="M194" s="2"/>
      <c r="N194" s="2"/>
      <c r="O194" s="2"/>
      <c r="P194" s="2"/>
      <c r="Q194" s="2"/>
      <c r="R194" s="2"/>
      <c r="S194" s="2"/>
      <c r="T194" s="2"/>
      <c r="U194" s="2"/>
      <c r="V194" s="2"/>
      <c r="W194" s="2"/>
      <c r="X194" s="2"/>
      <c r="Y194" s="2"/>
    </row>
    <row r="195">
      <c r="A195" s="25"/>
      <c r="B195" s="25"/>
      <c r="C195" s="25"/>
      <c r="D195" s="26"/>
      <c r="E195" s="26"/>
      <c r="F195" s="25"/>
      <c r="G195" s="25"/>
      <c r="H195" s="25"/>
      <c r="I195" s="26"/>
      <c r="J195" s="26"/>
      <c r="K195" s="2"/>
      <c r="L195" s="2"/>
      <c r="M195" s="2"/>
      <c r="N195" s="2"/>
      <c r="O195" s="2"/>
      <c r="P195" s="2"/>
      <c r="Q195" s="2"/>
      <c r="R195" s="2"/>
      <c r="S195" s="2"/>
      <c r="T195" s="2"/>
      <c r="U195" s="2"/>
      <c r="V195" s="2"/>
      <c r="W195" s="2"/>
      <c r="X195" s="2"/>
      <c r="Y195" s="2"/>
    </row>
    <row r="196">
      <c r="A196" s="25"/>
      <c r="B196" s="25"/>
      <c r="C196" s="25"/>
      <c r="D196" s="26"/>
      <c r="E196" s="26"/>
      <c r="F196" s="25"/>
      <c r="G196" s="25"/>
      <c r="H196" s="25"/>
      <c r="I196" s="26"/>
      <c r="J196" s="26"/>
      <c r="K196" s="2"/>
      <c r="L196" s="2"/>
      <c r="M196" s="2"/>
      <c r="N196" s="2"/>
      <c r="O196" s="2"/>
      <c r="P196" s="2"/>
      <c r="Q196" s="2"/>
      <c r="R196" s="2"/>
      <c r="S196" s="2"/>
      <c r="T196" s="2"/>
      <c r="U196" s="2"/>
      <c r="V196" s="2"/>
      <c r="W196" s="2"/>
      <c r="X196" s="2"/>
      <c r="Y196" s="2"/>
    </row>
    <row r="197">
      <c r="A197" s="25"/>
      <c r="B197" s="25"/>
      <c r="C197" s="25"/>
      <c r="D197" s="26"/>
      <c r="E197" s="26"/>
      <c r="F197" s="25"/>
      <c r="G197" s="25"/>
      <c r="H197" s="25"/>
      <c r="I197" s="26"/>
      <c r="J197" s="26"/>
      <c r="K197" s="2"/>
      <c r="L197" s="2"/>
      <c r="M197" s="2"/>
      <c r="N197" s="2"/>
      <c r="O197" s="2"/>
      <c r="P197" s="2"/>
      <c r="Q197" s="2"/>
      <c r="R197" s="2"/>
      <c r="S197" s="2"/>
      <c r="T197" s="2"/>
      <c r="U197" s="2"/>
      <c r="V197" s="2"/>
      <c r="W197" s="2"/>
      <c r="X197" s="2"/>
      <c r="Y197" s="2"/>
    </row>
    <row r="198">
      <c r="A198" s="25"/>
      <c r="B198" s="25"/>
      <c r="C198" s="25"/>
      <c r="D198" s="26"/>
      <c r="E198" s="26"/>
      <c r="F198" s="25"/>
      <c r="G198" s="25"/>
      <c r="H198" s="25"/>
      <c r="I198" s="26"/>
      <c r="J198" s="26"/>
      <c r="K198" s="2"/>
      <c r="L198" s="2"/>
      <c r="M198" s="2"/>
      <c r="N198" s="2"/>
      <c r="O198" s="2"/>
      <c r="P198" s="2"/>
      <c r="Q198" s="2"/>
      <c r="R198" s="2"/>
      <c r="S198" s="2"/>
      <c r="T198" s="2"/>
      <c r="U198" s="2"/>
      <c r="V198" s="2"/>
      <c r="W198" s="2"/>
      <c r="X198" s="2"/>
      <c r="Y198" s="2"/>
    </row>
    <row r="199">
      <c r="A199" s="25"/>
      <c r="B199" s="25"/>
      <c r="C199" s="25"/>
      <c r="D199" s="26"/>
      <c r="E199" s="26"/>
      <c r="F199" s="25"/>
      <c r="G199" s="25"/>
      <c r="H199" s="25"/>
      <c r="I199" s="26"/>
      <c r="J199" s="26"/>
      <c r="K199" s="2"/>
      <c r="L199" s="2"/>
      <c r="M199" s="2"/>
      <c r="N199" s="2"/>
      <c r="O199" s="2"/>
      <c r="P199" s="2"/>
      <c r="Q199" s="2"/>
      <c r="R199" s="2"/>
      <c r="S199" s="2"/>
      <c r="T199" s="2"/>
      <c r="U199" s="2"/>
      <c r="V199" s="2"/>
      <c r="W199" s="2"/>
      <c r="X199" s="2"/>
      <c r="Y199" s="2"/>
    </row>
    <row r="200">
      <c r="A200" s="25"/>
      <c r="B200" s="25"/>
      <c r="C200" s="25"/>
      <c r="D200" s="26"/>
      <c r="E200" s="26"/>
      <c r="F200" s="25"/>
      <c r="G200" s="25"/>
      <c r="H200" s="25"/>
      <c r="I200" s="26"/>
      <c r="J200" s="26"/>
      <c r="K200" s="2"/>
      <c r="L200" s="2"/>
      <c r="M200" s="2"/>
      <c r="N200" s="2"/>
      <c r="O200" s="2"/>
      <c r="P200" s="2"/>
      <c r="Q200" s="2"/>
      <c r="R200" s="2"/>
      <c r="S200" s="2"/>
      <c r="T200" s="2"/>
      <c r="U200" s="2"/>
      <c r="V200" s="2"/>
      <c r="W200" s="2"/>
      <c r="X200" s="2"/>
      <c r="Y200" s="2"/>
    </row>
    <row r="201">
      <c r="A201" s="25"/>
      <c r="B201" s="25"/>
      <c r="C201" s="25"/>
      <c r="D201" s="26"/>
      <c r="E201" s="26"/>
      <c r="F201" s="25"/>
      <c r="G201" s="25"/>
      <c r="H201" s="25"/>
      <c r="I201" s="26"/>
      <c r="J201" s="26"/>
      <c r="K201" s="2"/>
      <c r="L201" s="2"/>
      <c r="M201" s="2"/>
      <c r="N201" s="2"/>
      <c r="O201" s="2"/>
      <c r="P201" s="2"/>
      <c r="Q201" s="2"/>
      <c r="R201" s="2"/>
      <c r="S201" s="2"/>
      <c r="T201" s="2"/>
      <c r="U201" s="2"/>
      <c r="V201" s="2"/>
      <c r="W201" s="2"/>
      <c r="X201" s="2"/>
      <c r="Y201" s="2"/>
    </row>
    <row r="202">
      <c r="A202" s="25"/>
      <c r="B202" s="25"/>
      <c r="C202" s="25"/>
      <c r="D202" s="26"/>
      <c r="E202" s="26"/>
      <c r="F202" s="25"/>
      <c r="G202" s="25"/>
      <c r="H202" s="25"/>
      <c r="I202" s="26"/>
      <c r="J202" s="26"/>
      <c r="K202" s="2"/>
      <c r="L202" s="2"/>
      <c r="M202" s="2"/>
      <c r="N202" s="2"/>
      <c r="O202" s="2"/>
      <c r="P202" s="2"/>
      <c r="Q202" s="2"/>
      <c r="R202" s="2"/>
      <c r="S202" s="2"/>
      <c r="T202" s="2"/>
      <c r="U202" s="2"/>
      <c r="V202" s="2"/>
      <c r="W202" s="2"/>
      <c r="X202" s="2"/>
      <c r="Y202" s="2"/>
    </row>
    <row r="203">
      <c r="A203" s="25"/>
      <c r="B203" s="25"/>
      <c r="C203" s="25"/>
      <c r="D203" s="26"/>
      <c r="E203" s="26"/>
      <c r="F203" s="25"/>
      <c r="G203" s="25"/>
      <c r="H203" s="25"/>
      <c r="I203" s="26"/>
      <c r="J203" s="26"/>
      <c r="K203" s="2"/>
      <c r="L203" s="2"/>
      <c r="M203" s="2"/>
      <c r="N203" s="2"/>
      <c r="O203" s="2"/>
      <c r="P203" s="2"/>
      <c r="Q203" s="2"/>
      <c r="R203" s="2"/>
      <c r="S203" s="2"/>
      <c r="T203" s="2"/>
      <c r="U203" s="2"/>
      <c r="V203" s="2"/>
      <c r="W203" s="2"/>
      <c r="X203" s="2"/>
      <c r="Y203" s="2"/>
    </row>
    <row r="204">
      <c r="A204" s="25"/>
      <c r="B204" s="25"/>
      <c r="C204" s="25"/>
      <c r="D204" s="26"/>
      <c r="E204" s="26"/>
      <c r="F204" s="25"/>
      <c r="G204" s="25"/>
      <c r="H204" s="25"/>
      <c r="I204" s="26"/>
      <c r="J204" s="26"/>
      <c r="K204" s="2"/>
      <c r="L204" s="2"/>
      <c r="M204" s="2"/>
      <c r="N204" s="2"/>
      <c r="O204" s="2"/>
      <c r="P204" s="2"/>
      <c r="Q204" s="2"/>
      <c r="R204" s="2"/>
      <c r="S204" s="2"/>
      <c r="T204" s="2"/>
      <c r="U204" s="2"/>
      <c r="V204" s="2"/>
      <c r="W204" s="2"/>
      <c r="X204" s="2"/>
      <c r="Y204" s="2"/>
    </row>
    <row r="205">
      <c r="A205" s="25"/>
      <c r="B205" s="25"/>
      <c r="C205" s="25"/>
      <c r="D205" s="26"/>
      <c r="E205" s="26"/>
      <c r="F205" s="25"/>
      <c r="G205" s="25"/>
      <c r="H205" s="25"/>
      <c r="I205" s="26"/>
      <c r="J205" s="26"/>
      <c r="K205" s="2"/>
      <c r="L205" s="2"/>
      <c r="M205" s="2"/>
      <c r="N205" s="2"/>
      <c r="O205" s="2"/>
      <c r="P205" s="2"/>
      <c r="Q205" s="2"/>
      <c r="R205" s="2"/>
      <c r="S205" s="2"/>
      <c r="T205" s="2"/>
      <c r="U205" s="2"/>
      <c r="V205" s="2"/>
      <c r="W205" s="2"/>
      <c r="X205" s="2"/>
      <c r="Y205" s="2"/>
    </row>
    <row r="206">
      <c r="A206" s="25"/>
      <c r="B206" s="25"/>
      <c r="C206" s="25"/>
      <c r="D206" s="26"/>
      <c r="E206" s="26"/>
      <c r="F206" s="25"/>
      <c r="G206" s="25"/>
      <c r="H206" s="25"/>
      <c r="I206" s="26"/>
      <c r="J206" s="26"/>
      <c r="K206" s="2"/>
      <c r="L206" s="2"/>
      <c r="M206" s="2"/>
      <c r="N206" s="2"/>
      <c r="O206" s="2"/>
      <c r="P206" s="2"/>
      <c r="Q206" s="2"/>
      <c r="R206" s="2"/>
      <c r="S206" s="2"/>
      <c r="T206" s="2"/>
      <c r="U206" s="2"/>
      <c r="V206" s="2"/>
      <c r="W206" s="2"/>
      <c r="X206" s="2"/>
      <c r="Y206" s="2"/>
    </row>
    <row r="207">
      <c r="A207" s="25"/>
      <c r="B207" s="25"/>
      <c r="C207" s="25"/>
      <c r="D207" s="26"/>
      <c r="E207" s="26"/>
      <c r="F207" s="25"/>
      <c r="G207" s="25"/>
      <c r="H207" s="25"/>
      <c r="I207" s="26"/>
      <c r="J207" s="26"/>
      <c r="K207" s="2"/>
      <c r="L207" s="2"/>
      <c r="M207" s="2"/>
      <c r="N207" s="2"/>
      <c r="O207" s="2"/>
      <c r="P207" s="2"/>
      <c r="Q207" s="2"/>
      <c r="R207" s="2"/>
      <c r="S207" s="2"/>
      <c r="T207" s="2"/>
      <c r="U207" s="2"/>
      <c r="V207" s="2"/>
      <c r="W207" s="2"/>
      <c r="X207" s="2"/>
      <c r="Y207" s="2"/>
    </row>
    <row r="208">
      <c r="A208" s="25"/>
      <c r="B208" s="25"/>
      <c r="C208" s="25"/>
      <c r="D208" s="26"/>
      <c r="E208" s="26"/>
      <c r="F208" s="25"/>
      <c r="G208" s="25"/>
      <c r="H208" s="25"/>
      <c r="I208" s="26"/>
      <c r="J208" s="26"/>
      <c r="K208" s="2"/>
      <c r="L208" s="2"/>
      <c r="M208" s="2"/>
      <c r="N208" s="2"/>
      <c r="O208" s="2"/>
      <c r="P208" s="2"/>
      <c r="Q208" s="2"/>
      <c r="R208" s="2"/>
      <c r="S208" s="2"/>
      <c r="T208" s="2"/>
      <c r="U208" s="2"/>
      <c r="V208" s="2"/>
      <c r="W208" s="2"/>
      <c r="X208" s="2"/>
      <c r="Y208" s="2"/>
    </row>
    <row r="209">
      <c r="A209" s="25"/>
      <c r="B209" s="25"/>
      <c r="C209" s="25"/>
      <c r="D209" s="26"/>
      <c r="E209" s="26"/>
      <c r="F209" s="25"/>
      <c r="G209" s="25"/>
      <c r="H209" s="25"/>
      <c r="I209" s="26"/>
      <c r="J209" s="26"/>
      <c r="K209" s="2"/>
      <c r="L209" s="2"/>
      <c r="M209" s="2"/>
      <c r="N209" s="2"/>
      <c r="O209" s="2"/>
      <c r="P209" s="2"/>
      <c r="Q209" s="2"/>
      <c r="R209" s="2"/>
      <c r="S209" s="2"/>
      <c r="T209" s="2"/>
      <c r="U209" s="2"/>
      <c r="V209" s="2"/>
      <c r="W209" s="2"/>
      <c r="X209" s="2"/>
      <c r="Y209" s="2"/>
    </row>
    <row r="210">
      <c r="A210" s="25"/>
      <c r="B210" s="25"/>
      <c r="C210" s="25"/>
      <c r="D210" s="26"/>
      <c r="E210" s="26"/>
      <c r="F210" s="25"/>
      <c r="G210" s="25"/>
      <c r="H210" s="25"/>
      <c r="I210" s="26"/>
      <c r="J210" s="26"/>
      <c r="K210" s="2"/>
      <c r="L210" s="2"/>
      <c r="M210" s="2"/>
      <c r="N210" s="2"/>
      <c r="O210" s="2"/>
      <c r="P210" s="2"/>
      <c r="Q210" s="2"/>
      <c r="R210" s="2"/>
      <c r="S210" s="2"/>
      <c r="T210" s="2"/>
      <c r="U210" s="2"/>
      <c r="V210" s="2"/>
      <c r="W210" s="2"/>
      <c r="X210" s="2"/>
      <c r="Y210" s="2"/>
    </row>
    <row r="211">
      <c r="A211" s="25"/>
      <c r="B211" s="25"/>
      <c r="C211" s="25"/>
      <c r="D211" s="26"/>
      <c r="E211" s="26"/>
      <c r="F211" s="25"/>
      <c r="G211" s="25"/>
      <c r="H211" s="25"/>
      <c r="I211" s="26"/>
      <c r="J211" s="26"/>
      <c r="K211" s="2"/>
      <c r="L211" s="2"/>
      <c r="M211" s="2"/>
      <c r="N211" s="2"/>
      <c r="O211" s="2"/>
      <c r="P211" s="2"/>
      <c r="Q211" s="2"/>
      <c r="R211" s="2"/>
      <c r="S211" s="2"/>
      <c r="T211" s="2"/>
      <c r="U211" s="2"/>
      <c r="V211" s="2"/>
      <c r="W211" s="2"/>
      <c r="X211" s="2"/>
      <c r="Y211" s="2"/>
    </row>
    <row r="212">
      <c r="A212" s="25"/>
      <c r="B212" s="25"/>
      <c r="C212" s="25"/>
      <c r="D212" s="26"/>
      <c r="E212" s="26"/>
      <c r="F212" s="25"/>
      <c r="G212" s="25"/>
      <c r="H212" s="25"/>
      <c r="I212" s="26"/>
      <c r="J212" s="26"/>
      <c r="K212" s="2"/>
      <c r="L212" s="2"/>
      <c r="M212" s="2"/>
      <c r="N212" s="2"/>
      <c r="O212" s="2"/>
      <c r="P212" s="2"/>
      <c r="Q212" s="2"/>
      <c r="R212" s="2"/>
      <c r="S212" s="2"/>
      <c r="T212" s="2"/>
      <c r="U212" s="2"/>
      <c r="V212" s="2"/>
      <c r="W212" s="2"/>
      <c r="X212" s="2"/>
      <c r="Y212" s="2"/>
    </row>
    <row r="213">
      <c r="A213" s="25"/>
      <c r="B213" s="25"/>
      <c r="C213" s="25"/>
      <c r="D213" s="26"/>
      <c r="E213" s="26"/>
      <c r="F213" s="25"/>
      <c r="G213" s="25"/>
      <c r="H213" s="25"/>
      <c r="I213" s="26"/>
      <c r="J213" s="26"/>
      <c r="K213" s="2"/>
      <c r="L213" s="2"/>
      <c r="M213" s="2"/>
      <c r="N213" s="2"/>
      <c r="O213" s="2"/>
      <c r="P213" s="2"/>
      <c r="Q213" s="2"/>
      <c r="R213" s="2"/>
      <c r="S213" s="2"/>
      <c r="T213" s="2"/>
      <c r="U213" s="2"/>
      <c r="V213" s="2"/>
      <c r="W213" s="2"/>
      <c r="X213" s="2"/>
      <c r="Y213" s="2"/>
    </row>
    <row r="214">
      <c r="A214" s="25"/>
      <c r="B214" s="25"/>
      <c r="C214" s="25"/>
      <c r="D214" s="26"/>
      <c r="E214" s="26"/>
      <c r="F214" s="25"/>
      <c r="G214" s="25"/>
      <c r="H214" s="25"/>
      <c r="I214" s="26"/>
      <c r="J214" s="26"/>
      <c r="K214" s="2"/>
      <c r="L214" s="2"/>
      <c r="M214" s="2"/>
      <c r="N214" s="2"/>
      <c r="O214" s="2"/>
      <c r="P214" s="2"/>
      <c r="Q214" s="2"/>
      <c r="R214" s="2"/>
      <c r="S214" s="2"/>
      <c r="T214" s="2"/>
      <c r="U214" s="2"/>
      <c r="V214" s="2"/>
      <c r="W214" s="2"/>
      <c r="X214" s="2"/>
      <c r="Y214" s="2"/>
    </row>
    <row r="215">
      <c r="A215" s="25"/>
      <c r="B215" s="25"/>
      <c r="C215" s="25"/>
      <c r="D215" s="26"/>
      <c r="E215" s="26"/>
      <c r="F215" s="25"/>
      <c r="G215" s="25"/>
      <c r="H215" s="25"/>
      <c r="I215" s="26"/>
      <c r="J215" s="26"/>
      <c r="K215" s="2"/>
      <c r="L215" s="2"/>
      <c r="M215" s="2"/>
      <c r="N215" s="2"/>
      <c r="O215" s="2"/>
      <c r="P215" s="2"/>
      <c r="Q215" s="2"/>
      <c r="R215" s="2"/>
      <c r="S215" s="2"/>
      <c r="T215" s="2"/>
      <c r="U215" s="2"/>
      <c r="V215" s="2"/>
      <c r="W215" s="2"/>
      <c r="X215" s="2"/>
      <c r="Y215" s="2"/>
    </row>
    <row r="216">
      <c r="A216" s="25"/>
      <c r="B216" s="25"/>
      <c r="C216" s="25"/>
      <c r="D216" s="26"/>
      <c r="E216" s="26"/>
      <c r="F216" s="25"/>
      <c r="G216" s="25"/>
      <c r="H216" s="25"/>
      <c r="I216" s="26"/>
      <c r="J216" s="26"/>
      <c r="K216" s="2"/>
      <c r="L216" s="2"/>
      <c r="M216" s="2"/>
      <c r="N216" s="2"/>
      <c r="O216" s="2"/>
      <c r="P216" s="2"/>
      <c r="Q216" s="2"/>
      <c r="R216" s="2"/>
      <c r="S216" s="2"/>
      <c r="T216" s="2"/>
      <c r="U216" s="2"/>
      <c r="V216" s="2"/>
      <c r="W216" s="2"/>
      <c r="X216" s="2"/>
      <c r="Y216" s="2"/>
    </row>
    <row r="217">
      <c r="A217" s="25"/>
      <c r="B217" s="25"/>
      <c r="C217" s="25"/>
      <c r="D217" s="26"/>
      <c r="E217" s="26"/>
      <c r="F217" s="25"/>
      <c r="G217" s="25"/>
      <c r="H217" s="25"/>
      <c r="I217" s="26"/>
      <c r="J217" s="26"/>
      <c r="K217" s="2"/>
      <c r="L217" s="2"/>
      <c r="M217" s="2"/>
      <c r="N217" s="2"/>
      <c r="O217" s="2"/>
      <c r="P217" s="2"/>
      <c r="Q217" s="2"/>
      <c r="R217" s="2"/>
      <c r="S217" s="2"/>
      <c r="T217" s="2"/>
      <c r="U217" s="2"/>
      <c r="V217" s="2"/>
      <c r="W217" s="2"/>
      <c r="X217" s="2"/>
      <c r="Y217" s="2"/>
    </row>
    <row r="218">
      <c r="A218" s="25"/>
      <c r="B218" s="25"/>
      <c r="C218" s="25"/>
      <c r="D218" s="26"/>
      <c r="E218" s="26"/>
      <c r="F218" s="25"/>
      <c r="G218" s="25"/>
      <c r="H218" s="25"/>
      <c r="I218" s="26"/>
      <c r="J218" s="26"/>
      <c r="K218" s="2"/>
      <c r="L218" s="2"/>
      <c r="M218" s="2"/>
      <c r="N218" s="2"/>
      <c r="O218" s="2"/>
      <c r="P218" s="2"/>
      <c r="Q218" s="2"/>
      <c r="R218" s="2"/>
      <c r="S218" s="2"/>
      <c r="T218" s="2"/>
      <c r="U218" s="2"/>
      <c r="V218" s="2"/>
      <c r="W218" s="2"/>
      <c r="X218" s="2"/>
      <c r="Y218" s="2"/>
    </row>
    <row r="219">
      <c r="A219" s="25"/>
      <c r="B219" s="25"/>
      <c r="C219" s="25"/>
      <c r="D219" s="26"/>
      <c r="E219" s="26"/>
      <c r="F219" s="25"/>
      <c r="G219" s="25"/>
      <c r="H219" s="25"/>
      <c r="I219" s="26"/>
      <c r="J219" s="26"/>
      <c r="K219" s="2"/>
      <c r="L219" s="2"/>
      <c r="M219" s="2"/>
      <c r="N219" s="2"/>
      <c r="O219" s="2"/>
      <c r="P219" s="2"/>
      <c r="Q219" s="2"/>
      <c r="R219" s="2"/>
      <c r="S219" s="2"/>
      <c r="T219" s="2"/>
      <c r="U219" s="2"/>
      <c r="V219" s="2"/>
      <c r="W219" s="2"/>
      <c r="X219" s="2"/>
      <c r="Y219" s="2"/>
    </row>
    <row r="220">
      <c r="A220" s="25"/>
      <c r="B220" s="25"/>
      <c r="C220" s="25"/>
      <c r="D220" s="26"/>
      <c r="E220" s="26"/>
      <c r="F220" s="25"/>
      <c r="G220" s="25"/>
      <c r="H220" s="25"/>
      <c r="I220" s="26"/>
      <c r="J220" s="26"/>
      <c r="K220" s="2"/>
      <c r="L220" s="2"/>
      <c r="M220" s="2"/>
      <c r="N220" s="2"/>
      <c r="O220" s="2"/>
      <c r="P220" s="2"/>
      <c r="Q220" s="2"/>
      <c r="R220" s="2"/>
      <c r="S220" s="2"/>
      <c r="T220" s="2"/>
      <c r="U220" s="2"/>
      <c r="V220" s="2"/>
      <c r="W220" s="2"/>
      <c r="X220" s="2"/>
      <c r="Y220" s="2"/>
    </row>
    <row r="221">
      <c r="A221" s="25"/>
      <c r="B221" s="25"/>
      <c r="C221" s="25"/>
      <c r="D221" s="26"/>
      <c r="E221" s="26"/>
      <c r="F221" s="25"/>
      <c r="G221" s="25"/>
      <c r="H221" s="25"/>
      <c r="I221" s="26"/>
      <c r="J221" s="26"/>
      <c r="K221" s="2"/>
      <c r="L221" s="2"/>
      <c r="M221" s="2"/>
      <c r="N221" s="2"/>
      <c r="O221" s="2"/>
      <c r="P221" s="2"/>
      <c r="Q221" s="2"/>
      <c r="R221" s="2"/>
      <c r="S221" s="2"/>
      <c r="T221" s="2"/>
      <c r="U221" s="2"/>
      <c r="V221" s="2"/>
      <c r="W221" s="2"/>
      <c r="X221" s="2"/>
      <c r="Y221" s="2"/>
    </row>
    <row r="222">
      <c r="A222" s="25"/>
      <c r="B222" s="25"/>
      <c r="C222" s="25"/>
      <c r="D222" s="26"/>
      <c r="E222" s="26"/>
      <c r="F222" s="25"/>
      <c r="G222" s="25"/>
      <c r="H222" s="25"/>
      <c r="I222" s="26"/>
      <c r="J222" s="26"/>
      <c r="K222" s="2"/>
      <c r="L222" s="2"/>
      <c r="M222" s="2"/>
      <c r="N222" s="2"/>
      <c r="O222" s="2"/>
      <c r="P222" s="2"/>
      <c r="Q222" s="2"/>
      <c r="R222" s="2"/>
      <c r="S222" s="2"/>
      <c r="T222" s="2"/>
      <c r="U222" s="2"/>
      <c r="V222" s="2"/>
      <c r="W222" s="2"/>
      <c r="X222" s="2"/>
      <c r="Y222" s="2"/>
    </row>
    <row r="223">
      <c r="A223" s="25"/>
      <c r="B223" s="25"/>
      <c r="C223" s="25"/>
      <c r="D223" s="26"/>
      <c r="E223" s="26"/>
      <c r="F223" s="25"/>
      <c r="G223" s="25"/>
      <c r="H223" s="25"/>
      <c r="I223" s="26"/>
      <c r="J223" s="26"/>
      <c r="K223" s="2"/>
      <c r="L223" s="2"/>
      <c r="M223" s="2"/>
      <c r="N223" s="2"/>
      <c r="O223" s="2"/>
      <c r="P223" s="2"/>
      <c r="Q223" s="2"/>
      <c r="R223" s="2"/>
      <c r="S223" s="2"/>
      <c r="T223" s="2"/>
      <c r="U223" s="2"/>
      <c r="V223" s="2"/>
      <c r="W223" s="2"/>
      <c r="X223" s="2"/>
      <c r="Y223" s="2"/>
    </row>
    <row r="224">
      <c r="A224" s="25"/>
      <c r="B224" s="25"/>
      <c r="C224" s="25"/>
      <c r="D224" s="26"/>
      <c r="E224" s="26"/>
      <c r="F224" s="25"/>
      <c r="G224" s="25"/>
      <c r="H224" s="25"/>
      <c r="I224" s="26"/>
      <c r="J224" s="26"/>
      <c r="K224" s="2"/>
      <c r="L224" s="2"/>
      <c r="M224" s="2"/>
      <c r="N224" s="2"/>
      <c r="O224" s="2"/>
      <c r="P224" s="2"/>
      <c r="Q224" s="2"/>
      <c r="R224" s="2"/>
      <c r="S224" s="2"/>
      <c r="T224" s="2"/>
      <c r="U224" s="2"/>
      <c r="V224" s="2"/>
      <c r="W224" s="2"/>
      <c r="X224" s="2"/>
      <c r="Y224" s="2"/>
    </row>
    <row r="225">
      <c r="A225" s="25"/>
      <c r="B225" s="25"/>
      <c r="C225" s="25"/>
      <c r="D225" s="26"/>
      <c r="E225" s="26"/>
      <c r="F225" s="25"/>
      <c r="G225" s="25"/>
      <c r="H225" s="25"/>
      <c r="I225" s="26"/>
      <c r="J225" s="26"/>
      <c r="K225" s="2"/>
      <c r="L225" s="2"/>
      <c r="M225" s="2"/>
      <c r="N225" s="2"/>
      <c r="O225" s="2"/>
      <c r="P225" s="2"/>
      <c r="Q225" s="2"/>
      <c r="R225" s="2"/>
      <c r="S225" s="2"/>
      <c r="T225" s="2"/>
      <c r="U225" s="2"/>
      <c r="V225" s="2"/>
      <c r="W225" s="2"/>
      <c r="X225" s="2"/>
      <c r="Y225" s="2"/>
    </row>
    <row r="226">
      <c r="A226" s="25"/>
      <c r="B226" s="25"/>
      <c r="C226" s="25"/>
      <c r="D226" s="26"/>
      <c r="E226" s="26"/>
      <c r="F226" s="25"/>
      <c r="G226" s="25"/>
      <c r="H226" s="25"/>
      <c r="I226" s="26"/>
      <c r="J226" s="26"/>
      <c r="K226" s="2"/>
      <c r="L226" s="2"/>
      <c r="M226" s="2"/>
      <c r="N226" s="2"/>
      <c r="O226" s="2"/>
      <c r="P226" s="2"/>
      <c r="Q226" s="2"/>
      <c r="R226" s="2"/>
      <c r="S226" s="2"/>
      <c r="T226" s="2"/>
      <c r="U226" s="2"/>
      <c r="V226" s="2"/>
      <c r="W226" s="2"/>
      <c r="X226" s="2"/>
      <c r="Y226" s="2"/>
    </row>
    <row r="227">
      <c r="A227" s="25"/>
      <c r="B227" s="25"/>
      <c r="C227" s="25"/>
      <c r="D227" s="26"/>
      <c r="E227" s="26"/>
      <c r="F227" s="25"/>
      <c r="G227" s="25"/>
      <c r="H227" s="25"/>
      <c r="I227" s="26"/>
      <c r="J227" s="26"/>
      <c r="K227" s="2"/>
      <c r="L227" s="2"/>
      <c r="M227" s="2"/>
      <c r="N227" s="2"/>
      <c r="O227" s="2"/>
      <c r="P227" s="2"/>
      <c r="Q227" s="2"/>
      <c r="R227" s="2"/>
      <c r="S227" s="2"/>
      <c r="T227" s="2"/>
      <c r="U227" s="2"/>
      <c r="V227" s="2"/>
      <c r="W227" s="2"/>
      <c r="X227" s="2"/>
      <c r="Y227" s="2"/>
    </row>
    <row r="228">
      <c r="A228" s="25"/>
      <c r="B228" s="25"/>
      <c r="C228" s="25"/>
      <c r="D228" s="26"/>
      <c r="E228" s="26"/>
      <c r="F228" s="25"/>
      <c r="G228" s="25"/>
      <c r="H228" s="25"/>
      <c r="I228" s="26"/>
      <c r="J228" s="26"/>
      <c r="K228" s="2"/>
      <c r="L228" s="2"/>
      <c r="M228" s="2"/>
      <c r="N228" s="2"/>
      <c r="O228" s="2"/>
      <c r="P228" s="2"/>
      <c r="Q228" s="2"/>
      <c r="R228" s="2"/>
      <c r="S228" s="2"/>
      <c r="T228" s="2"/>
      <c r="U228" s="2"/>
      <c r="V228" s="2"/>
      <c r="W228" s="2"/>
      <c r="X228" s="2"/>
      <c r="Y228" s="2"/>
    </row>
    <row r="229">
      <c r="A229" s="25"/>
      <c r="B229" s="25"/>
      <c r="C229" s="25"/>
      <c r="D229" s="26"/>
      <c r="E229" s="26"/>
      <c r="F229" s="25"/>
      <c r="G229" s="25"/>
      <c r="H229" s="25"/>
      <c r="I229" s="26"/>
      <c r="J229" s="26"/>
      <c r="K229" s="2"/>
      <c r="L229" s="2"/>
      <c r="M229" s="2"/>
      <c r="N229" s="2"/>
      <c r="O229" s="2"/>
      <c r="P229" s="2"/>
      <c r="Q229" s="2"/>
      <c r="R229" s="2"/>
      <c r="S229" s="2"/>
      <c r="T229" s="2"/>
      <c r="U229" s="2"/>
      <c r="V229" s="2"/>
      <c r="W229" s="2"/>
      <c r="X229" s="2"/>
      <c r="Y229" s="2"/>
    </row>
    <row r="230">
      <c r="A230" s="25"/>
      <c r="B230" s="25"/>
      <c r="C230" s="25"/>
      <c r="D230" s="26"/>
      <c r="E230" s="26"/>
      <c r="F230" s="25"/>
      <c r="G230" s="25"/>
      <c r="H230" s="25"/>
      <c r="I230" s="26"/>
      <c r="J230" s="26"/>
      <c r="K230" s="2"/>
      <c r="L230" s="2"/>
      <c r="M230" s="2"/>
      <c r="N230" s="2"/>
      <c r="O230" s="2"/>
      <c r="P230" s="2"/>
      <c r="Q230" s="2"/>
      <c r="R230" s="2"/>
      <c r="S230" s="2"/>
      <c r="T230" s="2"/>
      <c r="U230" s="2"/>
      <c r="V230" s="2"/>
      <c r="W230" s="2"/>
      <c r="X230" s="2"/>
      <c r="Y230" s="2"/>
    </row>
    <row r="231">
      <c r="A231" s="25"/>
      <c r="B231" s="25"/>
      <c r="C231" s="25"/>
      <c r="D231" s="26"/>
      <c r="E231" s="26"/>
      <c r="F231" s="25"/>
      <c r="G231" s="25"/>
      <c r="H231" s="25"/>
      <c r="I231" s="26"/>
      <c r="J231" s="26"/>
      <c r="K231" s="2"/>
      <c r="L231" s="2"/>
      <c r="M231" s="2"/>
      <c r="N231" s="2"/>
      <c r="O231" s="2"/>
      <c r="P231" s="2"/>
      <c r="Q231" s="2"/>
      <c r="R231" s="2"/>
      <c r="S231" s="2"/>
      <c r="T231" s="2"/>
      <c r="U231" s="2"/>
      <c r="V231" s="2"/>
      <c r="W231" s="2"/>
      <c r="X231" s="2"/>
      <c r="Y231" s="2"/>
    </row>
    <row r="232">
      <c r="A232" s="25"/>
      <c r="B232" s="25"/>
      <c r="C232" s="25"/>
      <c r="D232" s="26"/>
      <c r="E232" s="26"/>
      <c r="F232" s="25"/>
      <c r="G232" s="25"/>
      <c r="H232" s="25"/>
      <c r="I232" s="26"/>
      <c r="J232" s="26"/>
      <c r="K232" s="2"/>
      <c r="L232" s="2"/>
      <c r="M232" s="2"/>
      <c r="N232" s="2"/>
      <c r="O232" s="2"/>
      <c r="P232" s="2"/>
      <c r="Q232" s="2"/>
      <c r="R232" s="2"/>
      <c r="S232" s="2"/>
      <c r="T232" s="2"/>
      <c r="U232" s="2"/>
      <c r="V232" s="2"/>
      <c r="W232" s="2"/>
      <c r="X232" s="2"/>
      <c r="Y232" s="2"/>
    </row>
    <row r="233">
      <c r="A233" s="25"/>
      <c r="B233" s="25"/>
      <c r="C233" s="25"/>
      <c r="D233" s="26"/>
      <c r="E233" s="26"/>
      <c r="F233" s="25"/>
      <c r="G233" s="25"/>
      <c r="H233" s="25"/>
      <c r="I233" s="26"/>
      <c r="J233" s="26"/>
      <c r="K233" s="2"/>
      <c r="L233" s="2"/>
      <c r="M233" s="2"/>
      <c r="N233" s="2"/>
      <c r="O233" s="2"/>
      <c r="P233" s="2"/>
      <c r="Q233" s="2"/>
      <c r="R233" s="2"/>
      <c r="S233" s="2"/>
      <c r="T233" s="2"/>
      <c r="U233" s="2"/>
      <c r="V233" s="2"/>
      <c r="W233" s="2"/>
      <c r="X233" s="2"/>
      <c r="Y233" s="2"/>
    </row>
    <row r="234">
      <c r="A234" s="25"/>
      <c r="B234" s="25"/>
      <c r="C234" s="25"/>
      <c r="D234" s="26"/>
      <c r="E234" s="26"/>
      <c r="F234" s="25"/>
      <c r="G234" s="25"/>
      <c r="H234" s="25"/>
      <c r="I234" s="26"/>
      <c r="J234" s="26"/>
      <c r="K234" s="2"/>
      <c r="L234" s="2"/>
      <c r="M234" s="2"/>
      <c r="N234" s="2"/>
      <c r="O234" s="2"/>
      <c r="P234" s="2"/>
      <c r="Q234" s="2"/>
      <c r="R234" s="2"/>
      <c r="S234" s="2"/>
      <c r="T234" s="2"/>
      <c r="U234" s="2"/>
      <c r="V234" s="2"/>
      <c r="W234" s="2"/>
      <c r="X234" s="2"/>
      <c r="Y234" s="2"/>
    </row>
    <row r="235">
      <c r="A235" s="25"/>
      <c r="B235" s="25"/>
      <c r="C235" s="25"/>
      <c r="D235" s="26"/>
      <c r="E235" s="26"/>
      <c r="F235" s="25"/>
      <c r="G235" s="25"/>
      <c r="H235" s="25"/>
      <c r="I235" s="26"/>
      <c r="J235" s="26"/>
      <c r="K235" s="2"/>
      <c r="L235" s="2"/>
      <c r="M235" s="2"/>
      <c r="N235" s="2"/>
      <c r="O235" s="2"/>
      <c r="P235" s="2"/>
      <c r="Q235" s="2"/>
      <c r="R235" s="2"/>
      <c r="S235" s="2"/>
      <c r="T235" s="2"/>
      <c r="U235" s="2"/>
      <c r="V235" s="2"/>
      <c r="W235" s="2"/>
      <c r="X235" s="2"/>
      <c r="Y235" s="2"/>
    </row>
    <row r="236">
      <c r="A236" s="25"/>
      <c r="B236" s="25"/>
      <c r="C236" s="25"/>
      <c r="D236" s="26"/>
      <c r="E236" s="26"/>
      <c r="F236" s="25"/>
      <c r="G236" s="25"/>
      <c r="H236" s="25"/>
      <c r="I236" s="26"/>
      <c r="J236" s="26"/>
      <c r="K236" s="2"/>
      <c r="L236" s="2"/>
      <c r="M236" s="2"/>
      <c r="N236" s="2"/>
      <c r="O236" s="2"/>
      <c r="P236" s="2"/>
      <c r="Q236" s="2"/>
      <c r="R236" s="2"/>
      <c r="S236" s="2"/>
      <c r="T236" s="2"/>
      <c r="U236" s="2"/>
      <c r="V236" s="2"/>
      <c r="W236" s="2"/>
      <c r="X236" s="2"/>
      <c r="Y236" s="2"/>
    </row>
    <row r="237">
      <c r="A237" s="25"/>
      <c r="B237" s="25"/>
      <c r="C237" s="25"/>
      <c r="D237" s="26"/>
      <c r="E237" s="26"/>
      <c r="F237" s="25"/>
      <c r="G237" s="25"/>
      <c r="H237" s="25"/>
      <c r="I237" s="26"/>
      <c r="J237" s="26"/>
      <c r="K237" s="2"/>
      <c r="L237" s="2"/>
      <c r="M237" s="2"/>
      <c r="N237" s="2"/>
      <c r="O237" s="2"/>
      <c r="P237" s="2"/>
      <c r="Q237" s="2"/>
      <c r="R237" s="2"/>
      <c r="S237" s="2"/>
      <c r="T237" s="2"/>
      <c r="U237" s="2"/>
      <c r="V237" s="2"/>
      <c r="W237" s="2"/>
      <c r="X237" s="2"/>
      <c r="Y237" s="2"/>
    </row>
    <row r="238">
      <c r="A238" s="25"/>
      <c r="B238" s="25"/>
      <c r="C238" s="25"/>
      <c r="D238" s="26"/>
      <c r="E238" s="26"/>
      <c r="F238" s="25"/>
      <c r="G238" s="25"/>
      <c r="H238" s="25"/>
      <c r="I238" s="26"/>
      <c r="J238" s="26"/>
      <c r="K238" s="2"/>
      <c r="L238" s="2"/>
      <c r="M238" s="2"/>
      <c r="N238" s="2"/>
      <c r="O238" s="2"/>
      <c r="P238" s="2"/>
      <c r="Q238" s="2"/>
      <c r="R238" s="2"/>
      <c r="S238" s="2"/>
      <c r="T238" s="2"/>
      <c r="U238" s="2"/>
      <c r="V238" s="2"/>
      <c r="W238" s="2"/>
      <c r="X238" s="2"/>
      <c r="Y238" s="2"/>
    </row>
    <row r="239">
      <c r="A239" s="25"/>
      <c r="B239" s="25"/>
      <c r="C239" s="25"/>
      <c r="D239" s="26"/>
      <c r="E239" s="26"/>
      <c r="F239" s="25"/>
      <c r="G239" s="25"/>
      <c r="H239" s="25"/>
      <c r="I239" s="26"/>
      <c r="J239" s="26"/>
      <c r="K239" s="2"/>
      <c r="L239" s="2"/>
      <c r="M239" s="2"/>
      <c r="N239" s="2"/>
      <c r="O239" s="2"/>
      <c r="P239" s="2"/>
      <c r="Q239" s="2"/>
      <c r="R239" s="2"/>
      <c r="S239" s="2"/>
      <c r="T239" s="2"/>
      <c r="U239" s="2"/>
      <c r="V239" s="2"/>
      <c r="W239" s="2"/>
      <c r="X239" s="2"/>
      <c r="Y239" s="2"/>
    </row>
    <row r="240">
      <c r="A240" s="25"/>
      <c r="B240" s="25"/>
      <c r="C240" s="25"/>
      <c r="D240" s="26"/>
      <c r="E240" s="26"/>
      <c r="F240" s="25"/>
      <c r="G240" s="25"/>
      <c r="H240" s="25"/>
      <c r="I240" s="26"/>
      <c r="J240" s="26"/>
      <c r="K240" s="2"/>
      <c r="L240" s="2"/>
      <c r="M240" s="2"/>
      <c r="N240" s="2"/>
      <c r="O240" s="2"/>
      <c r="P240" s="2"/>
      <c r="Q240" s="2"/>
      <c r="R240" s="2"/>
      <c r="S240" s="2"/>
      <c r="T240" s="2"/>
      <c r="U240" s="2"/>
      <c r="V240" s="2"/>
      <c r="W240" s="2"/>
      <c r="X240" s="2"/>
      <c r="Y240" s="2"/>
    </row>
    <row r="241">
      <c r="A241" s="25"/>
      <c r="B241" s="25"/>
      <c r="C241" s="25"/>
      <c r="D241" s="26"/>
      <c r="E241" s="26"/>
      <c r="F241" s="25"/>
      <c r="G241" s="25"/>
      <c r="H241" s="25"/>
      <c r="I241" s="26"/>
      <c r="J241" s="26"/>
      <c r="K241" s="2"/>
      <c r="L241" s="2"/>
      <c r="M241" s="2"/>
      <c r="N241" s="2"/>
      <c r="O241" s="2"/>
      <c r="P241" s="2"/>
      <c r="Q241" s="2"/>
      <c r="R241" s="2"/>
      <c r="S241" s="2"/>
      <c r="T241" s="2"/>
      <c r="U241" s="2"/>
      <c r="V241" s="2"/>
      <c r="W241" s="2"/>
      <c r="X241" s="2"/>
      <c r="Y241" s="2"/>
    </row>
    <row r="242">
      <c r="A242" s="25"/>
      <c r="B242" s="25"/>
      <c r="C242" s="25"/>
      <c r="D242" s="26"/>
      <c r="E242" s="26"/>
      <c r="F242" s="25"/>
      <c r="G242" s="25"/>
      <c r="H242" s="25"/>
      <c r="I242" s="26"/>
      <c r="J242" s="26"/>
      <c r="K242" s="2"/>
      <c r="L242" s="2"/>
      <c r="M242" s="2"/>
      <c r="N242" s="2"/>
      <c r="O242" s="2"/>
      <c r="P242" s="2"/>
      <c r="Q242" s="2"/>
      <c r="R242" s="2"/>
      <c r="S242" s="2"/>
      <c r="T242" s="2"/>
      <c r="U242" s="2"/>
      <c r="V242" s="2"/>
      <c r="W242" s="2"/>
      <c r="X242" s="2"/>
      <c r="Y242" s="2"/>
    </row>
    <row r="243">
      <c r="A243" s="25"/>
      <c r="B243" s="25"/>
      <c r="C243" s="25"/>
      <c r="D243" s="26"/>
      <c r="E243" s="26"/>
      <c r="F243" s="25"/>
      <c r="G243" s="25"/>
      <c r="H243" s="25"/>
      <c r="I243" s="26"/>
      <c r="J243" s="26"/>
      <c r="K243" s="2"/>
      <c r="L243" s="2"/>
      <c r="M243" s="2"/>
      <c r="N243" s="2"/>
      <c r="O243" s="2"/>
      <c r="P243" s="2"/>
      <c r="Q243" s="2"/>
      <c r="R243" s="2"/>
      <c r="S243" s="2"/>
      <c r="T243" s="2"/>
      <c r="U243" s="2"/>
      <c r="V243" s="2"/>
      <c r="W243" s="2"/>
      <c r="X243" s="2"/>
      <c r="Y243" s="2"/>
    </row>
    <row r="244">
      <c r="A244" s="25"/>
      <c r="B244" s="25"/>
      <c r="C244" s="25"/>
      <c r="D244" s="26"/>
      <c r="E244" s="26"/>
      <c r="F244" s="25"/>
      <c r="G244" s="25"/>
      <c r="H244" s="25"/>
      <c r="I244" s="26"/>
      <c r="J244" s="26"/>
      <c r="K244" s="2"/>
      <c r="L244" s="2"/>
      <c r="M244" s="2"/>
      <c r="N244" s="2"/>
      <c r="O244" s="2"/>
      <c r="P244" s="2"/>
      <c r="Q244" s="2"/>
      <c r="R244" s="2"/>
      <c r="S244" s="2"/>
      <c r="T244" s="2"/>
      <c r="U244" s="2"/>
      <c r="V244" s="2"/>
      <c r="W244" s="2"/>
      <c r="X244" s="2"/>
      <c r="Y244" s="2"/>
    </row>
    <row r="245">
      <c r="A245" s="25"/>
      <c r="B245" s="25"/>
      <c r="C245" s="25"/>
      <c r="D245" s="26"/>
      <c r="E245" s="26"/>
      <c r="F245" s="25"/>
      <c r="G245" s="25"/>
      <c r="H245" s="25"/>
      <c r="I245" s="26"/>
      <c r="J245" s="26"/>
      <c r="K245" s="2"/>
      <c r="L245" s="2"/>
      <c r="M245" s="2"/>
      <c r="N245" s="2"/>
      <c r="O245" s="2"/>
      <c r="P245" s="2"/>
      <c r="Q245" s="2"/>
      <c r="R245" s="2"/>
      <c r="S245" s="2"/>
      <c r="T245" s="2"/>
      <c r="U245" s="2"/>
      <c r="V245" s="2"/>
      <c r="W245" s="2"/>
      <c r="X245" s="2"/>
      <c r="Y245" s="2"/>
    </row>
    <row r="246">
      <c r="A246" s="25"/>
      <c r="B246" s="25"/>
      <c r="C246" s="25"/>
      <c r="D246" s="26"/>
      <c r="E246" s="26"/>
      <c r="F246" s="25"/>
      <c r="G246" s="25"/>
      <c r="H246" s="25"/>
      <c r="I246" s="26"/>
      <c r="J246" s="26"/>
      <c r="K246" s="2"/>
      <c r="L246" s="2"/>
      <c r="M246" s="2"/>
      <c r="N246" s="2"/>
      <c r="O246" s="2"/>
      <c r="P246" s="2"/>
      <c r="Q246" s="2"/>
      <c r="R246" s="2"/>
      <c r="S246" s="2"/>
      <c r="T246" s="2"/>
      <c r="U246" s="2"/>
      <c r="V246" s="2"/>
      <c r="W246" s="2"/>
      <c r="X246" s="2"/>
      <c r="Y246" s="2"/>
    </row>
    <row r="247">
      <c r="A247" s="25"/>
      <c r="B247" s="25"/>
      <c r="C247" s="25"/>
      <c r="D247" s="26"/>
      <c r="E247" s="26"/>
      <c r="F247" s="25"/>
      <c r="G247" s="25"/>
      <c r="H247" s="25"/>
      <c r="I247" s="26"/>
      <c r="J247" s="26"/>
      <c r="K247" s="2"/>
      <c r="L247" s="2"/>
      <c r="M247" s="2"/>
      <c r="N247" s="2"/>
      <c r="O247" s="2"/>
      <c r="P247" s="2"/>
      <c r="Q247" s="2"/>
      <c r="R247" s="2"/>
      <c r="S247" s="2"/>
      <c r="T247" s="2"/>
      <c r="U247" s="2"/>
      <c r="V247" s="2"/>
      <c r="W247" s="2"/>
      <c r="X247" s="2"/>
      <c r="Y247" s="2"/>
    </row>
    <row r="248">
      <c r="A248" s="25"/>
      <c r="B248" s="25"/>
      <c r="C248" s="25"/>
      <c r="D248" s="26"/>
      <c r="E248" s="26"/>
      <c r="F248" s="25"/>
      <c r="G248" s="25"/>
      <c r="H248" s="25"/>
      <c r="I248" s="26"/>
      <c r="J248" s="26"/>
      <c r="K248" s="2"/>
      <c r="L248" s="2"/>
      <c r="M248" s="2"/>
      <c r="N248" s="2"/>
      <c r="O248" s="2"/>
      <c r="P248" s="2"/>
      <c r="Q248" s="2"/>
      <c r="R248" s="2"/>
      <c r="S248" s="2"/>
      <c r="T248" s="2"/>
      <c r="U248" s="2"/>
      <c r="V248" s="2"/>
      <c r="W248" s="2"/>
      <c r="X248" s="2"/>
      <c r="Y248" s="2"/>
    </row>
    <row r="249">
      <c r="A249" s="25"/>
      <c r="B249" s="25"/>
      <c r="C249" s="25"/>
      <c r="D249" s="26"/>
      <c r="E249" s="26"/>
      <c r="F249" s="25"/>
      <c r="G249" s="25"/>
      <c r="H249" s="25"/>
      <c r="I249" s="26"/>
      <c r="J249" s="26"/>
      <c r="K249" s="2"/>
      <c r="L249" s="2"/>
      <c r="M249" s="2"/>
      <c r="N249" s="2"/>
      <c r="O249" s="2"/>
      <c r="P249" s="2"/>
      <c r="Q249" s="2"/>
      <c r="R249" s="2"/>
      <c r="S249" s="2"/>
      <c r="T249" s="2"/>
      <c r="U249" s="2"/>
      <c r="V249" s="2"/>
      <c r="W249" s="2"/>
      <c r="X249" s="2"/>
      <c r="Y249" s="2"/>
    </row>
    <row r="250">
      <c r="A250" s="25"/>
      <c r="B250" s="25"/>
      <c r="C250" s="25"/>
      <c r="D250" s="26"/>
      <c r="E250" s="26"/>
      <c r="F250" s="25"/>
      <c r="G250" s="25"/>
      <c r="H250" s="25"/>
      <c r="I250" s="26"/>
      <c r="J250" s="26"/>
      <c r="K250" s="2"/>
      <c r="L250" s="2"/>
      <c r="M250" s="2"/>
      <c r="N250" s="2"/>
      <c r="O250" s="2"/>
      <c r="P250" s="2"/>
      <c r="Q250" s="2"/>
      <c r="R250" s="2"/>
      <c r="S250" s="2"/>
      <c r="T250" s="2"/>
      <c r="U250" s="2"/>
      <c r="V250" s="2"/>
      <c r="W250" s="2"/>
      <c r="X250" s="2"/>
      <c r="Y250" s="2"/>
    </row>
    <row r="251">
      <c r="A251" s="25"/>
      <c r="B251" s="25"/>
      <c r="C251" s="25"/>
      <c r="D251" s="26"/>
      <c r="E251" s="26"/>
      <c r="F251" s="25"/>
      <c r="G251" s="25"/>
      <c r="H251" s="25"/>
      <c r="I251" s="26"/>
      <c r="J251" s="26"/>
      <c r="K251" s="2"/>
      <c r="L251" s="2"/>
      <c r="M251" s="2"/>
      <c r="N251" s="2"/>
      <c r="O251" s="2"/>
      <c r="P251" s="2"/>
      <c r="Q251" s="2"/>
      <c r="R251" s="2"/>
      <c r="S251" s="2"/>
      <c r="T251" s="2"/>
      <c r="U251" s="2"/>
      <c r="V251" s="2"/>
      <c r="W251" s="2"/>
      <c r="X251" s="2"/>
      <c r="Y251" s="2"/>
    </row>
    <row r="252">
      <c r="A252" s="25"/>
      <c r="B252" s="25"/>
      <c r="C252" s="25"/>
      <c r="D252" s="26"/>
      <c r="E252" s="26"/>
      <c r="F252" s="25"/>
      <c r="G252" s="25"/>
      <c r="H252" s="25"/>
      <c r="I252" s="26"/>
      <c r="J252" s="26"/>
      <c r="K252" s="2"/>
      <c r="L252" s="2"/>
      <c r="M252" s="2"/>
      <c r="N252" s="2"/>
      <c r="O252" s="2"/>
      <c r="P252" s="2"/>
      <c r="Q252" s="2"/>
      <c r="R252" s="2"/>
      <c r="S252" s="2"/>
      <c r="T252" s="2"/>
      <c r="U252" s="2"/>
      <c r="V252" s="2"/>
      <c r="W252" s="2"/>
      <c r="X252" s="2"/>
      <c r="Y252" s="2"/>
    </row>
    <row r="253">
      <c r="A253" s="25"/>
      <c r="B253" s="25"/>
      <c r="C253" s="25"/>
      <c r="D253" s="26"/>
      <c r="E253" s="26"/>
      <c r="F253" s="25"/>
      <c r="G253" s="25"/>
      <c r="H253" s="25"/>
      <c r="I253" s="26"/>
      <c r="J253" s="26"/>
      <c r="K253" s="2"/>
      <c r="L253" s="2"/>
      <c r="M253" s="2"/>
      <c r="N253" s="2"/>
      <c r="O253" s="2"/>
      <c r="P253" s="2"/>
      <c r="Q253" s="2"/>
      <c r="R253" s="2"/>
      <c r="S253" s="2"/>
      <c r="T253" s="2"/>
      <c r="U253" s="2"/>
      <c r="V253" s="2"/>
      <c r="W253" s="2"/>
      <c r="X253" s="2"/>
      <c r="Y253" s="2"/>
    </row>
    <row r="254">
      <c r="A254" s="25"/>
      <c r="B254" s="25"/>
      <c r="C254" s="25"/>
      <c r="D254" s="26"/>
      <c r="E254" s="26"/>
      <c r="F254" s="25"/>
      <c r="G254" s="25"/>
      <c r="H254" s="25"/>
      <c r="I254" s="26"/>
      <c r="J254" s="26"/>
      <c r="K254" s="2"/>
      <c r="L254" s="2"/>
      <c r="M254" s="2"/>
      <c r="N254" s="2"/>
      <c r="O254" s="2"/>
      <c r="P254" s="2"/>
      <c r="Q254" s="2"/>
      <c r="R254" s="2"/>
      <c r="S254" s="2"/>
      <c r="T254" s="2"/>
      <c r="U254" s="2"/>
      <c r="V254" s="2"/>
      <c r="W254" s="2"/>
      <c r="X254" s="2"/>
      <c r="Y254" s="2"/>
    </row>
    <row r="255">
      <c r="A255" s="25"/>
      <c r="B255" s="25"/>
      <c r="C255" s="25"/>
      <c r="D255" s="26"/>
      <c r="E255" s="26"/>
      <c r="F255" s="25"/>
      <c r="G255" s="25"/>
      <c r="H255" s="25"/>
      <c r="I255" s="26"/>
      <c r="J255" s="26"/>
      <c r="K255" s="2"/>
      <c r="L255" s="2"/>
      <c r="M255" s="2"/>
      <c r="N255" s="2"/>
      <c r="O255" s="2"/>
      <c r="P255" s="2"/>
      <c r="Q255" s="2"/>
      <c r="R255" s="2"/>
      <c r="S255" s="2"/>
      <c r="T255" s="2"/>
      <c r="U255" s="2"/>
      <c r="V255" s="2"/>
      <c r="W255" s="2"/>
      <c r="X255" s="2"/>
      <c r="Y255" s="2"/>
    </row>
    <row r="256">
      <c r="A256" s="25"/>
      <c r="B256" s="25"/>
      <c r="C256" s="25"/>
      <c r="D256" s="26"/>
      <c r="E256" s="26"/>
      <c r="F256" s="25"/>
      <c r="G256" s="25"/>
      <c r="H256" s="25"/>
      <c r="I256" s="26"/>
      <c r="J256" s="26"/>
      <c r="K256" s="2"/>
      <c r="L256" s="2"/>
      <c r="M256" s="2"/>
      <c r="N256" s="2"/>
      <c r="O256" s="2"/>
      <c r="P256" s="2"/>
      <c r="Q256" s="2"/>
      <c r="R256" s="2"/>
      <c r="S256" s="2"/>
      <c r="T256" s="2"/>
      <c r="U256" s="2"/>
      <c r="V256" s="2"/>
      <c r="W256" s="2"/>
      <c r="X256" s="2"/>
      <c r="Y256" s="2"/>
    </row>
    <row r="257">
      <c r="A257" s="25"/>
      <c r="B257" s="25"/>
      <c r="C257" s="25"/>
      <c r="D257" s="26"/>
      <c r="E257" s="26"/>
      <c r="F257" s="25"/>
      <c r="G257" s="25"/>
      <c r="H257" s="25"/>
      <c r="I257" s="26"/>
      <c r="J257" s="26"/>
      <c r="K257" s="2"/>
      <c r="L257" s="2"/>
      <c r="M257" s="2"/>
      <c r="N257" s="2"/>
      <c r="O257" s="2"/>
      <c r="P257" s="2"/>
      <c r="Q257" s="2"/>
      <c r="R257" s="2"/>
      <c r="S257" s="2"/>
      <c r="T257" s="2"/>
      <c r="U257" s="2"/>
      <c r="V257" s="2"/>
      <c r="W257" s="2"/>
      <c r="X257" s="2"/>
      <c r="Y257" s="2"/>
    </row>
    <row r="258">
      <c r="A258" s="25"/>
      <c r="B258" s="25"/>
      <c r="C258" s="25"/>
      <c r="D258" s="26"/>
      <c r="E258" s="26"/>
      <c r="F258" s="25"/>
      <c r="G258" s="25"/>
      <c r="H258" s="25"/>
      <c r="I258" s="26"/>
      <c r="J258" s="26"/>
      <c r="K258" s="2"/>
      <c r="L258" s="2"/>
      <c r="M258" s="2"/>
      <c r="N258" s="2"/>
      <c r="O258" s="2"/>
      <c r="P258" s="2"/>
      <c r="Q258" s="2"/>
      <c r="R258" s="2"/>
      <c r="S258" s="2"/>
      <c r="T258" s="2"/>
      <c r="U258" s="2"/>
      <c r="V258" s="2"/>
      <c r="W258" s="2"/>
      <c r="X258" s="2"/>
      <c r="Y258" s="2"/>
    </row>
    <row r="259">
      <c r="A259" s="25"/>
      <c r="B259" s="25"/>
      <c r="C259" s="25"/>
      <c r="D259" s="26"/>
      <c r="E259" s="26"/>
      <c r="F259" s="25"/>
      <c r="G259" s="25"/>
      <c r="H259" s="25"/>
      <c r="I259" s="26"/>
      <c r="J259" s="26"/>
      <c r="K259" s="2"/>
      <c r="L259" s="2"/>
      <c r="M259" s="2"/>
      <c r="N259" s="2"/>
      <c r="O259" s="2"/>
      <c r="P259" s="2"/>
      <c r="Q259" s="2"/>
      <c r="R259" s="2"/>
      <c r="S259" s="2"/>
      <c r="T259" s="2"/>
      <c r="U259" s="2"/>
      <c r="V259" s="2"/>
      <c r="W259" s="2"/>
      <c r="X259" s="2"/>
      <c r="Y259" s="2"/>
    </row>
    <row r="260">
      <c r="A260" s="25"/>
      <c r="B260" s="25"/>
      <c r="C260" s="25"/>
      <c r="D260" s="26"/>
      <c r="E260" s="26"/>
      <c r="F260" s="25"/>
      <c r="G260" s="25"/>
      <c r="H260" s="25"/>
      <c r="I260" s="26"/>
      <c r="J260" s="26"/>
      <c r="K260" s="2"/>
      <c r="L260" s="2"/>
      <c r="M260" s="2"/>
      <c r="N260" s="2"/>
      <c r="O260" s="2"/>
      <c r="P260" s="2"/>
      <c r="Q260" s="2"/>
      <c r="R260" s="2"/>
      <c r="S260" s="2"/>
      <c r="T260" s="2"/>
      <c r="U260" s="2"/>
      <c r="V260" s="2"/>
      <c r="W260" s="2"/>
      <c r="X260" s="2"/>
      <c r="Y260" s="2"/>
    </row>
    <row r="261">
      <c r="A261" s="25"/>
      <c r="B261" s="25"/>
      <c r="C261" s="25"/>
      <c r="D261" s="26"/>
      <c r="E261" s="26"/>
      <c r="F261" s="25"/>
      <c r="G261" s="25"/>
      <c r="H261" s="25"/>
      <c r="I261" s="26"/>
      <c r="J261" s="26"/>
      <c r="K261" s="2"/>
      <c r="L261" s="2"/>
      <c r="M261" s="2"/>
      <c r="N261" s="2"/>
      <c r="O261" s="2"/>
      <c r="P261" s="2"/>
      <c r="Q261" s="2"/>
      <c r="R261" s="2"/>
      <c r="S261" s="2"/>
      <c r="T261" s="2"/>
      <c r="U261" s="2"/>
      <c r="V261" s="2"/>
      <c r="W261" s="2"/>
      <c r="X261" s="2"/>
      <c r="Y261" s="2"/>
    </row>
    <row r="262">
      <c r="A262" s="25"/>
      <c r="B262" s="25"/>
      <c r="C262" s="25"/>
      <c r="D262" s="26"/>
      <c r="E262" s="26"/>
      <c r="F262" s="25"/>
      <c r="G262" s="25"/>
      <c r="H262" s="25"/>
      <c r="I262" s="26"/>
      <c r="J262" s="26"/>
      <c r="K262" s="2"/>
      <c r="L262" s="2"/>
      <c r="M262" s="2"/>
      <c r="N262" s="2"/>
      <c r="O262" s="2"/>
      <c r="P262" s="2"/>
      <c r="Q262" s="2"/>
      <c r="R262" s="2"/>
      <c r="S262" s="2"/>
      <c r="T262" s="2"/>
      <c r="U262" s="2"/>
      <c r="V262" s="2"/>
      <c r="W262" s="2"/>
      <c r="X262" s="2"/>
      <c r="Y262" s="2"/>
    </row>
    <row r="263">
      <c r="A263" s="25"/>
      <c r="B263" s="25"/>
      <c r="C263" s="25"/>
      <c r="D263" s="26"/>
      <c r="E263" s="26"/>
      <c r="F263" s="25"/>
      <c r="G263" s="25"/>
      <c r="H263" s="25"/>
      <c r="I263" s="26"/>
      <c r="J263" s="26"/>
      <c r="K263" s="2"/>
      <c r="L263" s="2"/>
      <c r="M263" s="2"/>
      <c r="N263" s="2"/>
      <c r="O263" s="2"/>
      <c r="P263" s="2"/>
      <c r="Q263" s="2"/>
      <c r="R263" s="2"/>
      <c r="S263" s="2"/>
      <c r="T263" s="2"/>
      <c r="U263" s="2"/>
      <c r="V263" s="2"/>
      <c r="W263" s="2"/>
      <c r="X263" s="2"/>
      <c r="Y263" s="2"/>
    </row>
    <row r="264">
      <c r="A264" s="25"/>
      <c r="B264" s="25"/>
      <c r="C264" s="25"/>
      <c r="D264" s="26"/>
      <c r="E264" s="26"/>
      <c r="F264" s="25"/>
      <c r="G264" s="25"/>
      <c r="H264" s="25"/>
      <c r="I264" s="26"/>
      <c r="J264" s="26"/>
      <c r="K264" s="2"/>
      <c r="L264" s="2"/>
      <c r="M264" s="2"/>
      <c r="N264" s="2"/>
      <c r="O264" s="2"/>
      <c r="P264" s="2"/>
      <c r="Q264" s="2"/>
      <c r="R264" s="2"/>
      <c r="S264" s="2"/>
      <c r="T264" s="2"/>
      <c r="U264" s="2"/>
      <c r="V264" s="2"/>
      <c r="W264" s="2"/>
      <c r="X264" s="2"/>
      <c r="Y264" s="2"/>
    </row>
    <row r="265">
      <c r="A265" s="25"/>
      <c r="B265" s="25"/>
      <c r="C265" s="25"/>
      <c r="D265" s="26"/>
      <c r="E265" s="26"/>
      <c r="F265" s="25"/>
      <c r="G265" s="25"/>
      <c r="H265" s="25"/>
      <c r="I265" s="26"/>
      <c r="J265" s="26"/>
      <c r="K265" s="2"/>
      <c r="L265" s="2"/>
      <c r="M265" s="2"/>
      <c r="N265" s="2"/>
      <c r="O265" s="2"/>
      <c r="P265" s="2"/>
      <c r="Q265" s="2"/>
      <c r="R265" s="2"/>
      <c r="S265" s="2"/>
      <c r="T265" s="2"/>
      <c r="U265" s="2"/>
      <c r="V265" s="2"/>
      <c r="W265" s="2"/>
      <c r="X265" s="2"/>
      <c r="Y265" s="2"/>
    </row>
    <row r="266">
      <c r="A266" s="25"/>
      <c r="B266" s="25"/>
      <c r="C266" s="25"/>
      <c r="D266" s="26"/>
      <c r="E266" s="26"/>
      <c r="F266" s="25"/>
      <c r="G266" s="25"/>
      <c r="H266" s="25"/>
      <c r="I266" s="26"/>
      <c r="J266" s="26"/>
      <c r="K266" s="2"/>
      <c r="L266" s="2"/>
      <c r="M266" s="2"/>
      <c r="N266" s="2"/>
      <c r="O266" s="2"/>
      <c r="P266" s="2"/>
      <c r="Q266" s="2"/>
      <c r="R266" s="2"/>
      <c r="S266" s="2"/>
      <c r="T266" s="2"/>
      <c r="U266" s="2"/>
      <c r="V266" s="2"/>
      <c r="W266" s="2"/>
      <c r="X266" s="2"/>
      <c r="Y266" s="2"/>
    </row>
    <row r="267">
      <c r="A267" s="25"/>
      <c r="B267" s="25"/>
      <c r="C267" s="25"/>
      <c r="D267" s="26"/>
      <c r="E267" s="26"/>
      <c r="F267" s="25"/>
      <c r="G267" s="25"/>
      <c r="H267" s="25"/>
      <c r="I267" s="26"/>
      <c r="J267" s="26"/>
      <c r="K267" s="2"/>
      <c r="L267" s="2"/>
      <c r="M267" s="2"/>
      <c r="N267" s="2"/>
      <c r="O267" s="2"/>
      <c r="P267" s="2"/>
      <c r="Q267" s="2"/>
      <c r="R267" s="2"/>
      <c r="S267" s="2"/>
      <c r="T267" s="2"/>
      <c r="U267" s="2"/>
      <c r="V267" s="2"/>
      <c r="W267" s="2"/>
      <c r="X267" s="2"/>
      <c r="Y267" s="2"/>
    </row>
    <row r="268">
      <c r="A268" s="25"/>
      <c r="B268" s="25"/>
      <c r="C268" s="25"/>
      <c r="D268" s="26"/>
      <c r="E268" s="26"/>
      <c r="F268" s="25"/>
      <c r="G268" s="25"/>
      <c r="H268" s="25"/>
      <c r="I268" s="26"/>
      <c r="J268" s="26"/>
      <c r="K268" s="2"/>
      <c r="L268" s="2"/>
      <c r="M268" s="2"/>
      <c r="N268" s="2"/>
      <c r="O268" s="2"/>
      <c r="P268" s="2"/>
      <c r="Q268" s="2"/>
      <c r="R268" s="2"/>
      <c r="S268" s="2"/>
      <c r="T268" s="2"/>
      <c r="U268" s="2"/>
      <c r="V268" s="2"/>
      <c r="W268" s="2"/>
      <c r="X268" s="2"/>
      <c r="Y268" s="2"/>
    </row>
    <row r="269">
      <c r="A269" s="25"/>
      <c r="B269" s="25"/>
      <c r="C269" s="25"/>
      <c r="D269" s="26"/>
      <c r="E269" s="26"/>
      <c r="F269" s="25"/>
      <c r="G269" s="25"/>
      <c r="H269" s="25"/>
      <c r="I269" s="26"/>
      <c r="J269" s="26"/>
      <c r="K269" s="2"/>
      <c r="L269" s="2"/>
      <c r="M269" s="2"/>
      <c r="N269" s="2"/>
      <c r="O269" s="2"/>
      <c r="P269" s="2"/>
      <c r="Q269" s="2"/>
      <c r="R269" s="2"/>
      <c r="S269" s="2"/>
      <c r="T269" s="2"/>
      <c r="U269" s="2"/>
      <c r="V269" s="2"/>
      <c r="W269" s="2"/>
      <c r="X269" s="2"/>
      <c r="Y269" s="2"/>
    </row>
    <row r="270">
      <c r="A270" s="25"/>
      <c r="B270" s="25"/>
      <c r="C270" s="25"/>
      <c r="D270" s="26"/>
      <c r="E270" s="26"/>
      <c r="F270" s="25"/>
      <c r="G270" s="25"/>
      <c r="H270" s="25"/>
      <c r="I270" s="26"/>
      <c r="J270" s="26"/>
      <c r="K270" s="2"/>
      <c r="L270" s="2"/>
      <c r="M270" s="2"/>
      <c r="N270" s="2"/>
      <c r="O270" s="2"/>
      <c r="P270" s="2"/>
      <c r="Q270" s="2"/>
      <c r="R270" s="2"/>
      <c r="S270" s="2"/>
      <c r="T270" s="2"/>
      <c r="U270" s="2"/>
      <c r="V270" s="2"/>
      <c r="W270" s="2"/>
      <c r="X270" s="2"/>
      <c r="Y270" s="2"/>
    </row>
    <row r="271">
      <c r="A271" s="25"/>
      <c r="B271" s="25"/>
      <c r="C271" s="25"/>
      <c r="D271" s="26"/>
      <c r="E271" s="26"/>
      <c r="F271" s="25"/>
      <c r="G271" s="25"/>
      <c r="H271" s="25"/>
      <c r="I271" s="26"/>
      <c r="J271" s="26"/>
      <c r="K271" s="2"/>
      <c r="L271" s="2"/>
      <c r="M271" s="2"/>
      <c r="N271" s="2"/>
      <c r="O271" s="2"/>
      <c r="P271" s="2"/>
      <c r="Q271" s="2"/>
      <c r="R271" s="2"/>
      <c r="S271" s="2"/>
      <c r="T271" s="2"/>
      <c r="U271" s="2"/>
      <c r="V271" s="2"/>
      <c r="W271" s="2"/>
      <c r="X271" s="2"/>
      <c r="Y271" s="2"/>
    </row>
    <row r="272">
      <c r="A272" s="25"/>
      <c r="B272" s="25"/>
      <c r="C272" s="25"/>
      <c r="D272" s="26"/>
      <c r="E272" s="26"/>
      <c r="F272" s="25"/>
      <c r="G272" s="25"/>
      <c r="H272" s="25"/>
      <c r="I272" s="26"/>
      <c r="J272" s="26"/>
      <c r="K272" s="2"/>
      <c r="L272" s="2"/>
      <c r="M272" s="2"/>
      <c r="N272" s="2"/>
      <c r="O272" s="2"/>
      <c r="P272" s="2"/>
      <c r="Q272" s="2"/>
      <c r="R272" s="2"/>
      <c r="S272" s="2"/>
      <c r="T272" s="2"/>
      <c r="U272" s="2"/>
      <c r="V272" s="2"/>
      <c r="W272" s="2"/>
      <c r="X272" s="2"/>
      <c r="Y272" s="2"/>
    </row>
    <row r="273">
      <c r="A273" s="25"/>
      <c r="B273" s="25"/>
      <c r="C273" s="25"/>
      <c r="D273" s="26"/>
      <c r="E273" s="26"/>
      <c r="F273" s="25"/>
      <c r="G273" s="25"/>
      <c r="H273" s="25"/>
      <c r="I273" s="26"/>
      <c r="J273" s="26"/>
      <c r="K273" s="2"/>
      <c r="L273" s="2"/>
      <c r="M273" s="2"/>
      <c r="N273" s="2"/>
      <c r="O273" s="2"/>
      <c r="P273" s="2"/>
      <c r="Q273" s="2"/>
      <c r="R273" s="2"/>
      <c r="S273" s="2"/>
      <c r="T273" s="2"/>
      <c r="U273" s="2"/>
      <c r="V273" s="2"/>
      <c r="W273" s="2"/>
      <c r="X273" s="2"/>
      <c r="Y273" s="2"/>
    </row>
    <row r="274">
      <c r="A274" s="25"/>
      <c r="B274" s="25"/>
      <c r="C274" s="25"/>
      <c r="D274" s="26"/>
      <c r="E274" s="26"/>
      <c r="F274" s="25"/>
      <c r="G274" s="25"/>
      <c r="H274" s="25"/>
      <c r="I274" s="26"/>
      <c r="J274" s="26"/>
      <c r="K274" s="2"/>
      <c r="L274" s="2"/>
      <c r="M274" s="2"/>
      <c r="N274" s="2"/>
      <c r="O274" s="2"/>
      <c r="P274" s="2"/>
      <c r="Q274" s="2"/>
      <c r="R274" s="2"/>
      <c r="S274" s="2"/>
      <c r="T274" s="2"/>
      <c r="U274" s="2"/>
      <c r="V274" s="2"/>
      <c r="W274" s="2"/>
      <c r="X274" s="2"/>
      <c r="Y274" s="2"/>
    </row>
    <row r="275">
      <c r="A275" s="25"/>
      <c r="B275" s="25"/>
      <c r="C275" s="25"/>
      <c r="D275" s="26"/>
      <c r="E275" s="26"/>
      <c r="F275" s="25"/>
      <c r="G275" s="25"/>
      <c r="H275" s="25"/>
      <c r="I275" s="26"/>
      <c r="J275" s="26"/>
      <c r="K275" s="2"/>
      <c r="L275" s="2"/>
      <c r="M275" s="2"/>
      <c r="N275" s="2"/>
      <c r="O275" s="2"/>
      <c r="P275" s="2"/>
      <c r="Q275" s="2"/>
      <c r="R275" s="2"/>
      <c r="S275" s="2"/>
      <c r="T275" s="2"/>
      <c r="U275" s="2"/>
      <c r="V275" s="2"/>
      <c r="W275" s="2"/>
      <c r="X275" s="2"/>
      <c r="Y275" s="2"/>
    </row>
    <row r="276">
      <c r="A276" s="25"/>
      <c r="B276" s="25"/>
      <c r="C276" s="25"/>
      <c r="D276" s="26"/>
      <c r="E276" s="26"/>
      <c r="F276" s="25"/>
      <c r="G276" s="25"/>
      <c r="H276" s="25"/>
      <c r="I276" s="26"/>
      <c r="J276" s="26"/>
      <c r="K276" s="2"/>
      <c r="L276" s="2"/>
      <c r="M276" s="2"/>
      <c r="N276" s="2"/>
      <c r="O276" s="2"/>
      <c r="P276" s="2"/>
      <c r="Q276" s="2"/>
      <c r="R276" s="2"/>
      <c r="S276" s="2"/>
      <c r="T276" s="2"/>
      <c r="U276" s="2"/>
      <c r="V276" s="2"/>
      <c r="W276" s="2"/>
      <c r="X276" s="2"/>
      <c r="Y276" s="2"/>
    </row>
    <row r="277">
      <c r="A277" s="25"/>
      <c r="B277" s="25"/>
      <c r="C277" s="25"/>
      <c r="D277" s="26"/>
      <c r="E277" s="26"/>
      <c r="F277" s="25"/>
      <c r="G277" s="25"/>
      <c r="H277" s="25"/>
      <c r="I277" s="26"/>
      <c r="J277" s="26"/>
      <c r="K277" s="2"/>
      <c r="L277" s="2"/>
      <c r="M277" s="2"/>
      <c r="N277" s="2"/>
      <c r="O277" s="2"/>
      <c r="P277" s="2"/>
      <c r="Q277" s="2"/>
      <c r="R277" s="2"/>
      <c r="S277" s="2"/>
      <c r="T277" s="2"/>
      <c r="U277" s="2"/>
      <c r="V277" s="2"/>
      <c r="W277" s="2"/>
      <c r="X277" s="2"/>
      <c r="Y277" s="2"/>
    </row>
    <row r="278">
      <c r="A278" s="25"/>
      <c r="B278" s="25"/>
      <c r="C278" s="25"/>
      <c r="D278" s="26"/>
      <c r="E278" s="26"/>
      <c r="F278" s="25"/>
      <c r="G278" s="25"/>
      <c r="H278" s="25"/>
      <c r="I278" s="26"/>
      <c r="J278" s="26"/>
      <c r="K278" s="2"/>
      <c r="L278" s="2"/>
      <c r="M278" s="2"/>
      <c r="N278" s="2"/>
      <c r="O278" s="2"/>
      <c r="P278" s="2"/>
      <c r="Q278" s="2"/>
      <c r="R278" s="2"/>
      <c r="S278" s="2"/>
      <c r="T278" s="2"/>
      <c r="U278" s="2"/>
      <c r="V278" s="2"/>
      <c r="W278" s="2"/>
      <c r="X278" s="2"/>
      <c r="Y278" s="2"/>
    </row>
    <row r="279">
      <c r="A279" s="25"/>
      <c r="B279" s="25"/>
      <c r="C279" s="25"/>
      <c r="D279" s="26"/>
      <c r="E279" s="26"/>
      <c r="F279" s="25"/>
      <c r="G279" s="25"/>
      <c r="H279" s="25"/>
      <c r="I279" s="26"/>
      <c r="J279" s="26"/>
      <c r="K279" s="2"/>
      <c r="L279" s="2"/>
      <c r="M279" s="2"/>
      <c r="N279" s="2"/>
      <c r="O279" s="2"/>
      <c r="P279" s="2"/>
      <c r="Q279" s="2"/>
      <c r="R279" s="2"/>
      <c r="S279" s="2"/>
      <c r="T279" s="2"/>
      <c r="U279" s="2"/>
      <c r="V279" s="2"/>
      <c r="W279" s="2"/>
      <c r="X279" s="2"/>
      <c r="Y279" s="2"/>
    </row>
    <row r="280">
      <c r="A280" s="25"/>
      <c r="B280" s="25"/>
      <c r="C280" s="25"/>
      <c r="D280" s="26"/>
      <c r="E280" s="26"/>
      <c r="F280" s="25"/>
      <c r="G280" s="25"/>
      <c r="H280" s="25"/>
      <c r="I280" s="26"/>
      <c r="J280" s="26"/>
      <c r="K280" s="2"/>
      <c r="L280" s="2"/>
      <c r="M280" s="2"/>
      <c r="N280" s="2"/>
      <c r="O280" s="2"/>
      <c r="P280" s="2"/>
      <c r="Q280" s="2"/>
      <c r="R280" s="2"/>
      <c r="S280" s="2"/>
      <c r="T280" s="2"/>
      <c r="U280" s="2"/>
      <c r="V280" s="2"/>
      <c r="W280" s="2"/>
      <c r="X280" s="2"/>
      <c r="Y280" s="2"/>
    </row>
    <row r="281">
      <c r="A281" s="25"/>
      <c r="B281" s="25"/>
      <c r="C281" s="25"/>
      <c r="D281" s="26"/>
      <c r="E281" s="26"/>
      <c r="F281" s="25"/>
      <c r="G281" s="25"/>
      <c r="H281" s="25"/>
      <c r="I281" s="26"/>
      <c r="J281" s="26"/>
      <c r="K281" s="2"/>
      <c r="L281" s="2"/>
      <c r="M281" s="2"/>
      <c r="N281" s="2"/>
      <c r="O281" s="2"/>
      <c r="P281" s="2"/>
      <c r="Q281" s="2"/>
      <c r="R281" s="2"/>
      <c r="S281" s="2"/>
      <c r="T281" s="2"/>
      <c r="U281" s="2"/>
      <c r="V281" s="2"/>
      <c r="W281" s="2"/>
      <c r="X281" s="2"/>
      <c r="Y281" s="2"/>
    </row>
    <row r="282">
      <c r="A282" s="25"/>
      <c r="B282" s="25"/>
      <c r="C282" s="25"/>
      <c r="D282" s="26"/>
      <c r="E282" s="26"/>
      <c r="F282" s="25"/>
      <c r="G282" s="25"/>
      <c r="H282" s="25"/>
      <c r="I282" s="26"/>
      <c r="J282" s="26"/>
      <c r="K282" s="2"/>
      <c r="L282" s="2"/>
      <c r="M282" s="2"/>
      <c r="N282" s="2"/>
      <c r="O282" s="2"/>
      <c r="P282" s="2"/>
      <c r="Q282" s="2"/>
      <c r="R282" s="2"/>
      <c r="S282" s="2"/>
      <c r="T282" s="2"/>
      <c r="U282" s="2"/>
      <c r="V282" s="2"/>
      <c r="W282" s="2"/>
      <c r="X282" s="2"/>
      <c r="Y282" s="2"/>
    </row>
    <row r="283">
      <c r="A283" s="25"/>
      <c r="B283" s="25"/>
      <c r="C283" s="25"/>
      <c r="D283" s="26"/>
      <c r="E283" s="26"/>
      <c r="F283" s="25"/>
      <c r="G283" s="25"/>
      <c r="H283" s="25"/>
      <c r="I283" s="26"/>
      <c r="J283" s="26"/>
      <c r="K283" s="2"/>
      <c r="L283" s="2"/>
      <c r="M283" s="2"/>
      <c r="N283" s="2"/>
      <c r="O283" s="2"/>
      <c r="P283" s="2"/>
      <c r="Q283" s="2"/>
      <c r="R283" s="2"/>
      <c r="S283" s="2"/>
      <c r="T283" s="2"/>
      <c r="U283" s="2"/>
      <c r="V283" s="2"/>
      <c r="W283" s="2"/>
      <c r="X283" s="2"/>
      <c r="Y283" s="2"/>
    </row>
    <row r="284">
      <c r="A284" s="25"/>
      <c r="B284" s="25"/>
      <c r="C284" s="25"/>
      <c r="D284" s="26"/>
      <c r="E284" s="26"/>
      <c r="F284" s="25"/>
      <c r="G284" s="25"/>
      <c r="H284" s="25"/>
      <c r="I284" s="26"/>
      <c r="J284" s="26"/>
      <c r="K284" s="2"/>
      <c r="L284" s="2"/>
      <c r="M284" s="2"/>
      <c r="N284" s="2"/>
      <c r="O284" s="2"/>
      <c r="P284" s="2"/>
      <c r="Q284" s="2"/>
      <c r="R284" s="2"/>
      <c r="S284" s="2"/>
      <c r="T284" s="2"/>
      <c r="U284" s="2"/>
      <c r="V284" s="2"/>
      <c r="W284" s="2"/>
      <c r="X284" s="2"/>
      <c r="Y284" s="2"/>
    </row>
    <row r="285">
      <c r="A285" s="25"/>
      <c r="B285" s="25"/>
      <c r="C285" s="25"/>
      <c r="D285" s="26"/>
      <c r="E285" s="26"/>
      <c r="F285" s="25"/>
      <c r="G285" s="25"/>
      <c r="H285" s="25"/>
      <c r="I285" s="26"/>
      <c r="J285" s="26"/>
      <c r="K285" s="2"/>
      <c r="L285" s="2"/>
      <c r="M285" s="2"/>
      <c r="N285" s="2"/>
      <c r="O285" s="2"/>
      <c r="P285" s="2"/>
      <c r="Q285" s="2"/>
      <c r="R285" s="2"/>
      <c r="S285" s="2"/>
      <c r="T285" s="2"/>
      <c r="U285" s="2"/>
      <c r="V285" s="2"/>
      <c r="W285" s="2"/>
      <c r="X285" s="2"/>
      <c r="Y285" s="2"/>
    </row>
    <row r="286">
      <c r="A286" s="25"/>
      <c r="B286" s="25"/>
      <c r="C286" s="25"/>
      <c r="D286" s="26"/>
      <c r="E286" s="26"/>
      <c r="F286" s="25"/>
      <c r="G286" s="25"/>
      <c r="H286" s="25"/>
      <c r="I286" s="26"/>
      <c r="J286" s="26"/>
      <c r="K286" s="2"/>
      <c r="L286" s="2"/>
      <c r="M286" s="2"/>
      <c r="N286" s="2"/>
      <c r="O286" s="2"/>
      <c r="P286" s="2"/>
      <c r="Q286" s="2"/>
      <c r="R286" s="2"/>
      <c r="S286" s="2"/>
      <c r="T286" s="2"/>
      <c r="U286" s="2"/>
      <c r="V286" s="2"/>
      <c r="W286" s="2"/>
      <c r="X286" s="2"/>
      <c r="Y286" s="2"/>
    </row>
    <row r="287">
      <c r="A287" s="25"/>
      <c r="B287" s="25"/>
      <c r="C287" s="25"/>
      <c r="D287" s="26"/>
      <c r="E287" s="26"/>
      <c r="F287" s="25"/>
      <c r="G287" s="25"/>
      <c r="H287" s="25"/>
      <c r="I287" s="26"/>
      <c r="J287" s="26"/>
      <c r="K287" s="2"/>
      <c r="L287" s="2"/>
      <c r="M287" s="2"/>
      <c r="N287" s="2"/>
      <c r="O287" s="2"/>
      <c r="P287" s="2"/>
      <c r="Q287" s="2"/>
      <c r="R287" s="2"/>
      <c r="S287" s="2"/>
      <c r="T287" s="2"/>
      <c r="U287" s="2"/>
      <c r="V287" s="2"/>
      <c r="W287" s="2"/>
      <c r="X287" s="2"/>
      <c r="Y287" s="2"/>
    </row>
    <row r="288">
      <c r="A288" s="25"/>
      <c r="B288" s="25"/>
      <c r="C288" s="25"/>
      <c r="D288" s="26"/>
      <c r="E288" s="26"/>
      <c r="F288" s="25"/>
      <c r="G288" s="25"/>
      <c r="H288" s="25"/>
      <c r="I288" s="26"/>
      <c r="J288" s="26"/>
      <c r="K288" s="2"/>
      <c r="L288" s="2"/>
      <c r="M288" s="2"/>
      <c r="N288" s="2"/>
      <c r="O288" s="2"/>
      <c r="P288" s="2"/>
      <c r="Q288" s="2"/>
      <c r="R288" s="2"/>
      <c r="S288" s="2"/>
      <c r="T288" s="2"/>
      <c r="U288" s="2"/>
      <c r="V288" s="2"/>
      <c r="W288" s="2"/>
      <c r="X288" s="2"/>
      <c r="Y288" s="2"/>
    </row>
    <row r="289">
      <c r="A289" s="25"/>
      <c r="B289" s="25"/>
      <c r="C289" s="25"/>
      <c r="D289" s="26"/>
      <c r="E289" s="26"/>
      <c r="F289" s="25"/>
      <c r="G289" s="25"/>
      <c r="H289" s="25"/>
      <c r="I289" s="26"/>
      <c r="J289" s="26"/>
      <c r="K289" s="2"/>
      <c r="L289" s="2"/>
      <c r="M289" s="2"/>
      <c r="N289" s="2"/>
      <c r="O289" s="2"/>
      <c r="P289" s="2"/>
      <c r="Q289" s="2"/>
      <c r="R289" s="2"/>
      <c r="S289" s="2"/>
      <c r="T289" s="2"/>
      <c r="U289" s="2"/>
      <c r="V289" s="2"/>
      <c r="W289" s="2"/>
      <c r="X289" s="2"/>
      <c r="Y289" s="2"/>
    </row>
    <row r="290">
      <c r="A290" s="25"/>
      <c r="B290" s="25"/>
      <c r="C290" s="25"/>
      <c r="D290" s="26"/>
      <c r="E290" s="26"/>
      <c r="F290" s="25"/>
      <c r="G290" s="25"/>
      <c r="H290" s="25"/>
      <c r="I290" s="26"/>
      <c r="J290" s="26"/>
      <c r="K290" s="2"/>
      <c r="L290" s="2"/>
      <c r="M290" s="2"/>
      <c r="N290" s="2"/>
      <c r="O290" s="2"/>
      <c r="P290" s="2"/>
      <c r="Q290" s="2"/>
      <c r="R290" s="2"/>
      <c r="S290" s="2"/>
      <c r="T290" s="2"/>
      <c r="U290" s="2"/>
      <c r="V290" s="2"/>
      <c r="W290" s="2"/>
      <c r="X290" s="2"/>
      <c r="Y290" s="2"/>
    </row>
    <row r="291">
      <c r="A291" s="25"/>
      <c r="B291" s="25"/>
      <c r="C291" s="25"/>
      <c r="D291" s="26"/>
      <c r="E291" s="26"/>
      <c r="F291" s="25"/>
      <c r="G291" s="25"/>
      <c r="H291" s="25"/>
      <c r="I291" s="26"/>
      <c r="J291" s="26"/>
      <c r="K291" s="2"/>
      <c r="L291" s="2"/>
      <c r="M291" s="2"/>
      <c r="N291" s="2"/>
      <c r="O291" s="2"/>
      <c r="P291" s="2"/>
      <c r="Q291" s="2"/>
      <c r="R291" s="2"/>
      <c r="S291" s="2"/>
      <c r="T291" s="2"/>
      <c r="U291" s="2"/>
      <c r="V291" s="2"/>
      <c r="W291" s="2"/>
      <c r="X291" s="2"/>
      <c r="Y291" s="2"/>
    </row>
    <row r="292">
      <c r="A292" s="25"/>
      <c r="B292" s="25"/>
      <c r="C292" s="25"/>
      <c r="D292" s="26"/>
      <c r="E292" s="26"/>
      <c r="F292" s="25"/>
      <c r="G292" s="25"/>
      <c r="H292" s="25"/>
      <c r="I292" s="26"/>
      <c r="J292" s="26"/>
      <c r="K292" s="2"/>
      <c r="L292" s="2"/>
      <c r="M292" s="2"/>
      <c r="N292" s="2"/>
      <c r="O292" s="2"/>
      <c r="P292" s="2"/>
      <c r="Q292" s="2"/>
      <c r="R292" s="2"/>
      <c r="S292" s="2"/>
      <c r="T292" s="2"/>
      <c r="U292" s="2"/>
      <c r="V292" s="2"/>
      <c r="W292" s="2"/>
      <c r="X292" s="2"/>
      <c r="Y292" s="2"/>
    </row>
    <row r="293">
      <c r="A293" s="25"/>
      <c r="B293" s="25"/>
      <c r="C293" s="25"/>
      <c r="D293" s="26"/>
      <c r="E293" s="26"/>
      <c r="F293" s="25"/>
      <c r="G293" s="25"/>
      <c r="H293" s="25"/>
      <c r="I293" s="26"/>
      <c r="J293" s="26"/>
      <c r="K293" s="2"/>
      <c r="L293" s="2"/>
      <c r="M293" s="2"/>
      <c r="N293" s="2"/>
      <c r="O293" s="2"/>
      <c r="P293" s="2"/>
      <c r="Q293" s="2"/>
      <c r="R293" s="2"/>
      <c r="S293" s="2"/>
      <c r="T293" s="2"/>
      <c r="U293" s="2"/>
      <c r="V293" s="2"/>
      <c r="W293" s="2"/>
      <c r="X293" s="2"/>
      <c r="Y293" s="2"/>
    </row>
    <row r="294">
      <c r="A294" s="25"/>
      <c r="B294" s="25"/>
      <c r="C294" s="25"/>
      <c r="D294" s="26"/>
      <c r="E294" s="26"/>
      <c r="F294" s="25"/>
      <c r="G294" s="25"/>
      <c r="H294" s="25"/>
      <c r="I294" s="26"/>
      <c r="J294" s="26"/>
      <c r="K294" s="2"/>
      <c r="L294" s="2"/>
      <c r="M294" s="2"/>
      <c r="N294" s="2"/>
      <c r="O294" s="2"/>
      <c r="P294" s="2"/>
      <c r="Q294" s="2"/>
      <c r="R294" s="2"/>
      <c r="S294" s="2"/>
      <c r="T294" s="2"/>
      <c r="U294" s="2"/>
      <c r="V294" s="2"/>
      <c r="W294" s="2"/>
      <c r="X294" s="2"/>
      <c r="Y294" s="2"/>
    </row>
    <row r="295">
      <c r="A295" s="25"/>
      <c r="B295" s="25"/>
      <c r="C295" s="25"/>
      <c r="D295" s="26"/>
      <c r="E295" s="26"/>
      <c r="F295" s="25"/>
      <c r="G295" s="25"/>
      <c r="H295" s="25"/>
      <c r="I295" s="26"/>
      <c r="J295" s="26"/>
      <c r="K295" s="2"/>
      <c r="L295" s="2"/>
      <c r="M295" s="2"/>
      <c r="N295" s="2"/>
      <c r="O295" s="2"/>
      <c r="P295" s="2"/>
      <c r="Q295" s="2"/>
      <c r="R295" s="2"/>
      <c r="S295" s="2"/>
      <c r="T295" s="2"/>
      <c r="U295" s="2"/>
      <c r="V295" s="2"/>
      <c r="W295" s="2"/>
      <c r="X295" s="2"/>
      <c r="Y295" s="2"/>
    </row>
    <row r="296">
      <c r="A296" s="25"/>
      <c r="B296" s="25"/>
      <c r="C296" s="25"/>
      <c r="D296" s="26"/>
      <c r="E296" s="26"/>
      <c r="F296" s="25"/>
      <c r="G296" s="25"/>
      <c r="H296" s="25"/>
      <c r="I296" s="26"/>
      <c r="J296" s="26"/>
      <c r="K296" s="2"/>
      <c r="L296" s="2"/>
      <c r="M296" s="2"/>
      <c r="N296" s="2"/>
      <c r="O296" s="2"/>
      <c r="P296" s="2"/>
      <c r="Q296" s="2"/>
      <c r="R296" s="2"/>
      <c r="S296" s="2"/>
      <c r="T296" s="2"/>
      <c r="U296" s="2"/>
      <c r="V296" s="2"/>
      <c r="W296" s="2"/>
      <c r="X296" s="2"/>
      <c r="Y296" s="2"/>
    </row>
    <row r="297">
      <c r="A297" s="25"/>
      <c r="B297" s="25"/>
      <c r="C297" s="25"/>
      <c r="D297" s="26"/>
      <c r="E297" s="26"/>
      <c r="F297" s="25"/>
      <c r="G297" s="25"/>
      <c r="H297" s="25"/>
      <c r="I297" s="26"/>
      <c r="J297" s="26"/>
      <c r="K297" s="2"/>
      <c r="L297" s="2"/>
      <c r="M297" s="2"/>
      <c r="N297" s="2"/>
      <c r="O297" s="2"/>
      <c r="P297" s="2"/>
      <c r="Q297" s="2"/>
      <c r="R297" s="2"/>
      <c r="S297" s="2"/>
      <c r="T297" s="2"/>
      <c r="U297" s="2"/>
      <c r="V297" s="2"/>
      <c r="W297" s="2"/>
      <c r="X297" s="2"/>
      <c r="Y297" s="2"/>
    </row>
    <row r="298">
      <c r="A298" s="25"/>
      <c r="B298" s="25"/>
      <c r="C298" s="25"/>
      <c r="D298" s="26"/>
      <c r="E298" s="26"/>
      <c r="F298" s="25"/>
      <c r="G298" s="25"/>
      <c r="H298" s="25"/>
      <c r="I298" s="26"/>
      <c r="J298" s="26"/>
      <c r="K298" s="2"/>
      <c r="L298" s="2"/>
      <c r="M298" s="2"/>
      <c r="N298" s="2"/>
      <c r="O298" s="2"/>
      <c r="P298" s="2"/>
      <c r="Q298" s="2"/>
      <c r="R298" s="2"/>
      <c r="S298" s="2"/>
      <c r="T298" s="2"/>
      <c r="U298" s="2"/>
      <c r="V298" s="2"/>
      <c r="W298" s="2"/>
      <c r="X298" s="2"/>
      <c r="Y298" s="2"/>
    </row>
    <row r="299">
      <c r="A299" s="25"/>
      <c r="B299" s="25"/>
      <c r="C299" s="25"/>
      <c r="D299" s="26"/>
      <c r="E299" s="26"/>
      <c r="F299" s="25"/>
      <c r="G299" s="25"/>
      <c r="H299" s="25"/>
      <c r="I299" s="26"/>
      <c r="J299" s="26"/>
      <c r="K299" s="2"/>
      <c r="L299" s="2"/>
      <c r="M299" s="2"/>
      <c r="N299" s="2"/>
      <c r="O299" s="2"/>
      <c r="P299" s="2"/>
      <c r="Q299" s="2"/>
      <c r="R299" s="2"/>
      <c r="S299" s="2"/>
      <c r="T299" s="2"/>
      <c r="U299" s="2"/>
      <c r="V299" s="2"/>
      <c r="W299" s="2"/>
      <c r="X299" s="2"/>
      <c r="Y299" s="2"/>
    </row>
    <row r="300">
      <c r="A300" s="25"/>
      <c r="B300" s="25"/>
      <c r="C300" s="25"/>
      <c r="D300" s="26"/>
      <c r="E300" s="26"/>
      <c r="F300" s="25"/>
      <c r="G300" s="25"/>
      <c r="H300" s="25"/>
      <c r="I300" s="26"/>
      <c r="J300" s="26"/>
      <c r="K300" s="2"/>
      <c r="L300" s="2"/>
      <c r="M300" s="2"/>
      <c r="N300" s="2"/>
      <c r="O300" s="2"/>
      <c r="P300" s="2"/>
      <c r="Q300" s="2"/>
      <c r="R300" s="2"/>
      <c r="S300" s="2"/>
      <c r="T300" s="2"/>
      <c r="U300" s="2"/>
      <c r="V300" s="2"/>
      <c r="W300" s="2"/>
      <c r="X300" s="2"/>
      <c r="Y300" s="2"/>
    </row>
    <row r="301">
      <c r="A301" s="25"/>
      <c r="B301" s="25"/>
      <c r="C301" s="25"/>
      <c r="D301" s="26"/>
      <c r="E301" s="26"/>
      <c r="F301" s="25"/>
      <c r="G301" s="25"/>
      <c r="H301" s="25"/>
      <c r="I301" s="26"/>
      <c r="J301" s="26"/>
      <c r="K301" s="2"/>
      <c r="L301" s="2"/>
      <c r="M301" s="2"/>
      <c r="N301" s="2"/>
      <c r="O301" s="2"/>
      <c r="P301" s="2"/>
      <c r="Q301" s="2"/>
      <c r="R301" s="2"/>
      <c r="S301" s="2"/>
      <c r="T301" s="2"/>
      <c r="U301" s="2"/>
      <c r="V301" s="2"/>
      <c r="W301" s="2"/>
      <c r="X301" s="2"/>
      <c r="Y301" s="2"/>
    </row>
    <row r="302">
      <c r="A302" s="25"/>
      <c r="B302" s="25"/>
      <c r="C302" s="25"/>
      <c r="D302" s="26"/>
      <c r="E302" s="26"/>
      <c r="F302" s="25"/>
      <c r="G302" s="25"/>
      <c r="H302" s="25"/>
      <c r="I302" s="26"/>
      <c r="J302" s="26"/>
      <c r="K302" s="2"/>
      <c r="L302" s="2"/>
      <c r="M302" s="2"/>
      <c r="N302" s="2"/>
      <c r="O302" s="2"/>
      <c r="P302" s="2"/>
      <c r="Q302" s="2"/>
      <c r="R302" s="2"/>
      <c r="S302" s="2"/>
      <c r="T302" s="2"/>
      <c r="U302" s="2"/>
      <c r="V302" s="2"/>
      <c r="W302" s="2"/>
      <c r="X302" s="2"/>
      <c r="Y302" s="2"/>
    </row>
    <row r="303">
      <c r="A303" s="25"/>
      <c r="B303" s="25"/>
      <c r="C303" s="25"/>
      <c r="D303" s="26"/>
      <c r="E303" s="26"/>
      <c r="F303" s="25"/>
      <c r="G303" s="25"/>
      <c r="H303" s="25"/>
      <c r="I303" s="26"/>
      <c r="J303" s="26"/>
      <c r="K303" s="2"/>
      <c r="L303" s="2"/>
      <c r="M303" s="2"/>
      <c r="N303" s="2"/>
      <c r="O303" s="2"/>
      <c r="P303" s="2"/>
      <c r="Q303" s="2"/>
      <c r="R303" s="2"/>
      <c r="S303" s="2"/>
      <c r="T303" s="2"/>
      <c r="U303" s="2"/>
      <c r="V303" s="2"/>
      <c r="W303" s="2"/>
      <c r="X303" s="2"/>
      <c r="Y303" s="2"/>
    </row>
    <row r="304">
      <c r="A304" s="25"/>
      <c r="B304" s="25"/>
      <c r="C304" s="25"/>
      <c r="D304" s="26"/>
      <c r="E304" s="26"/>
      <c r="F304" s="25"/>
      <c r="G304" s="25"/>
      <c r="H304" s="25"/>
      <c r="I304" s="26"/>
      <c r="J304" s="26"/>
      <c r="K304" s="2"/>
      <c r="L304" s="2"/>
      <c r="M304" s="2"/>
      <c r="N304" s="2"/>
      <c r="O304" s="2"/>
      <c r="P304" s="2"/>
      <c r="Q304" s="2"/>
      <c r="R304" s="2"/>
      <c r="S304" s="2"/>
      <c r="T304" s="2"/>
      <c r="U304" s="2"/>
      <c r="V304" s="2"/>
      <c r="W304" s="2"/>
      <c r="X304" s="2"/>
      <c r="Y304" s="2"/>
    </row>
    <row r="305">
      <c r="A305" s="25"/>
      <c r="B305" s="25"/>
      <c r="C305" s="25"/>
      <c r="D305" s="26"/>
      <c r="E305" s="26"/>
      <c r="F305" s="25"/>
      <c r="G305" s="25"/>
      <c r="H305" s="25"/>
      <c r="I305" s="26"/>
      <c r="J305" s="26"/>
      <c r="K305" s="2"/>
      <c r="L305" s="2"/>
      <c r="M305" s="2"/>
      <c r="N305" s="2"/>
      <c r="O305" s="2"/>
      <c r="P305" s="2"/>
      <c r="Q305" s="2"/>
      <c r="R305" s="2"/>
      <c r="S305" s="2"/>
      <c r="T305" s="2"/>
      <c r="U305" s="2"/>
      <c r="V305" s="2"/>
      <c r="W305" s="2"/>
      <c r="X305" s="2"/>
      <c r="Y305" s="2"/>
    </row>
    <row r="306">
      <c r="A306" s="25"/>
      <c r="B306" s="25"/>
      <c r="C306" s="25"/>
      <c r="D306" s="26"/>
      <c r="E306" s="26"/>
      <c r="F306" s="25"/>
      <c r="G306" s="25"/>
      <c r="H306" s="25"/>
      <c r="I306" s="26"/>
      <c r="J306" s="26"/>
      <c r="K306" s="2"/>
      <c r="L306" s="2"/>
      <c r="M306" s="2"/>
      <c r="N306" s="2"/>
      <c r="O306" s="2"/>
      <c r="P306" s="2"/>
      <c r="Q306" s="2"/>
      <c r="R306" s="2"/>
      <c r="S306" s="2"/>
      <c r="T306" s="2"/>
      <c r="U306" s="2"/>
      <c r="V306" s="2"/>
      <c r="W306" s="2"/>
      <c r="X306" s="2"/>
      <c r="Y306" s="2"/>
    </row>
    <row r="307">
      <c r="A307" s="25"/>
      <c r="B307" s="25"/>
      <c r="C307" s="25"/>
      <c r="D307" s="26"/>
      <c r="E307" s="26"/>
      <c r="F307" s="25"/>
      <c r="G307" s="25"/>
      <c r="H307" s="25"/>
      <c r="I307" s="26"/>
      <c r="J307" s="26"/>
      <c r="K307" s="2"/>
      <c r="L307" s="2"/>
      <c r="M307" s="2"/>
      <c r="N307" s="2"/>
      <c r="O307" s="2"/>
      <c r="P307" s="2"/>
      <c r="Q307" s="2"/>
      <c r="R307" s="2"/>
      <c r="S307" s="2"/>
      <c r="T307" s="2"/>
      <c r="U307" s="2"/>
      <c r="V307" s="2"/>
      <c r="W307" s="2"/>
      <c r="X307" s="2"/>
      <c r="Y307" s="2"/>
    </row>
    <row r="308">
      <c r="A308" s="25"/>
      <c r="B308" s="25"/>
      <c r="C308" s="25"/>
      <c r="D308" s="26"/>
      <c r="E308" s="26"/>
      <c r="F308" s="25"/>
      <c r="G308" s="25"/>
      <c r="H308" s="25"/>
      <c r="I308" s="26"/>
      <c r="J308" s="26"/>
      <c r="K308" s="2"/>
      <c r="L308" s="2"/>
      <c r="M308" s="2"/>
      <c r="N308" s="2"/>
      <c r="O308" s="2"/>
      <c r="P308" s="2"/>
      <c r="Q308" s="2"/>
      <c r="R308" s="2"/>
      <c r="S308" s="2"/>
      <c r="T308" s="2"/>
      <c r="U308" s="2"/>
      <c r="V308" s="2"/>
      <c r="W308" s="2"/>
      <c r="X308" s="2"/>
      <c r="Y308" s="2"/>
    </row>
    <row r="309">
      <c r="A309" s="25"/>
      <c r="B309" s="25"/>
      <c r="C309" s="25"/>
      <c r="D309" s="26"/>
      <c r="E309" s="26"/>
      <c r="F309" s="25"/>
      <c r="G309" s="25"/>
      <c r="H309" s="25"/>
      <c r="I309" s="26"/>
      <c r="J309" s="26"/>
      <c r="K309" s="2"/>
      <c r="L309" s="2"/>
      <c r="M309" s="2"/>
      <c r="N309" s="2"/>
      <c r="O309" s="2"/>
      <c r="P309" s="2"/>
      <c r="Q309" s="2"/>
      <c r="R309" s="2"/>
      <c r="S309" s="2"/>
      <c r="T309" s="2"/>
      <c r="U309" s="2"/>
      <c r="V309" s="2"/>
      <c r="W309" s="2"/>
      <c r="X309" s="2"/>
      <c r="Y309" s="2"/>
    </row>
    <row r="310">
      <c r="A310" s="25"/>
      <c r="B310" s="25"/>
      <c r="C310" s="25"/>
      <c r="D310" s="26"/>
      <c r="E310" s="26"/>
      <c r="F310" s="25"/>
      <c r="G310" s="25"/>
      <c r="H310" s="25"/>
      <c r="I310" s="26"/>
      <c r="J310" s="26"/>
      <c r="K310" s="2"/>
      <c r="L310" s="2"/>
      <c r="M310" s="2"/>
      <c r="N310" s="2"/>
      <c r="O310" s="2"/>
      <c r="P310" s="2"/>
      <c r="Q310" s="2"/>
      <c r="R310" s="2"/>
      <c r="S310" s="2"/>
      <c r="T310" s="2"/>
      <c r="U310" s="2"/>
      <c r="V310" s="2"/>
      <c r="W310" s="2"/>
      <c r="X310" s="2"/>
      <c r="Y310" s="2"/>
    </row>
    <row r="311">
      <c r="A311" s="25"/>
      <c r="B311" s="25"/>
      <c r="C311" s="25"/>
      <c r="D311" s="26"/>
      <c r="E311" s="26"/>
      <c r="F311" s="25"/>
      <c r="G311" s="25"/>
      <c r="H311" s="25"/>
      <c r="I311" s="26"/>
      <c r="J311" s="26"/>
      <c r="K311" s="2"/>
      <c r="L311" s="2"/>
      <c r="M311" s="2"/>
      <c r="N311" s="2"/>
      <c r="O311" s="2"/>
      <c r="P311" s="2"/>
      <c r="Q311" s="2"/>
      <c r="R311" s="2"/>
      <c r="S311" s="2"/>
      <c r="T311" s="2"/>
      <c r="U311" s="2"/>
      <c r="V311" s="2"/>
      <c r="W311" s="2"/>
      <c r="X311" s="2"/>
      <c r="Y311" s="2"/>
    </row>
    <row r="312">
      <c r="A312" s="25"/>
      <c r="B312" s="25"/>
      <c r="C312" s="25"/>
      <c r="D312" s="26"/>
      <c r="E312" s="26"/>
      <c r="F312" s="25"/>
      <c r="G312" s="25"/>
      <c r="H312" s="25"/>
      <c r="I312" s="26"/>
      <c r="J312" s="26"/>
      <c r="K312" s="2"/>
      <c r="L312" s="2"/>
      <c r="M312" s="2"/>
      <c r="N312" s="2"/>
      <c r="O312" s="2"/>
      <c r="P312" s="2"/>
      <c r="Q312" s="2"/>
      <c r="R312" s="2"/>
      <c r="S312" s="2"/>
      <c r="T312" s="2"/>
      <c r="U312" s="2"/>
      <c r="V312" s="2"/>
      <c r="W312" s="2"/>
      <c r="X312" s="2"/>
      <c r="Y312" s="2"/>
    </row>
    <row r="313">
      <c r="A313" s="25"/>
      <c r="B313" s="25"/>
      <c r="C313" s="25"/>
      <c r="D313" s="26"/>
      <c r="E313" s="26"/>
      <c r="F313" s="25"/>
      <c r="G313" s="25"/>
      <c r="H313" s="25"/>
      <c r="I313" s="26"/>
      <c r="J313" s="26"/>
      <c r="K313" s="2"/>
      <c r="L313" s="2"/>
      <c r="M313" s="2"/>
      <c r="N313" s="2"/>
      <c r="O313" s="2"/>
      <c r="P313" s="2"/>
      <c r="Q313" s="2"/>
      <c r="R313" s="2"/>
      <c r="S313" s="2"/>
      <c r="T313" s="2"/>
      <c r="U313" s="2"/>
      <c r="V313" s="2"/>
      <c r="W313" s="2"/>
      <c r="X313" s="2"/>
      <c r="Y313" s="2"/>
    </row>
    <row r="314">
      <c r="A314" s="25"/>
      <c r="B314" s="25"/>
      <c r="C314" s="25"/>
      <c r="D314" s="26"/>
      <c r="E314" s="26"/>
      <c r="F314" s="25"/>
      <c r="G314" s="25"/>
      <c r="H314" s="25"/>
      <c r="I314" s="26"/>
      <c r="J314" s="26"/>
      <c r="K314" s="2"/>
      <c r="L314" s="2"/>
      <c r="M314" s="2"/>
      <c r="N314" s="2"/>
      <c r="O314" s="2"/>
      <c r="P314" s="2"/>
      <c r="Q314" s="2"/>
      <c r="R314" s="2"/>
      <c r="S314" s="2"/>
      <c r="T314" s="2"/>
      <c r="U314" s="2"/>
      <c r="V314" s="2"/>
      <c r="W314" s="2"/>
      <c r="X314" s="2"/>
      <c r="Y314" s="2"/>
    </row>
    <row r="315">
      <c r="A315" s="25"/>
      <c r="B315" s="25"/>
      <c r="C315" s="25"/>
      <c r="D315" s="26"/>
      <c r="E315" s="26"/>
      <c r="F315" s="25"/>
      <c r="G315" s="25"/>
      <c r="H315" s="25"/>
      <c r="I315" s="26"/>
      <c r="J315" s="26"/>
      <c r="K315" s="2"/>
      <c r="L315" s="2"/>
      <c r="M315" s="2"/>
      <c r="N315" s="2"/>
      <c r="O315" s="2"/>
      <c r="P315" s="2"/>
      <c r="Q315" s="2"/>
      <c r="R315" s="2"/>
      <c r="S315" s="2"/>
      <c r="T315" s="2"/>
      <c r="U315" s="2"/>
      <c r="V315" s="2"/>
      <c r="W315" s="2"/>
      <c r="X315" s="2"/>
      <c r="Y315" s="2"/>
    </row>
    <row r="316">
      <c r="A316" s="25"/>
      <c r="B316" s="25"/>
      <c r="C316" s="25"/>
      <c r="D316" s="26"/>
      <c r="E316" s="26"/>
      <c r="F316" s="25"/>
      <c r="G316" s="25"/>
      <c r="H316" s="25"/>
      <c r="I316" s="26"/>
      <c r="J316" s="26"/>
      <c r="K316" s="2"/>
      <c r="L316" s="2"/>
      <c r="M316" s="2"/>
      <c r="N316" s="2"/>
      <c r="O316" s="2"/>
      <c r="P316" s="2"/>
      <c r="Q316" s="2"/>
      <c r="R316" s="2"/>
      <c r="S316" s="2"/>
      <c r="T316" s="2"/>
      <c r="U316" s="2"/>
      <c r="V316" s="2"/>
      <c r="W316" s="2"/>
      <c r="X316" s="2"/>
      <c r="Y316" s="2"/>
    </row>
    <row r="317">
      <c r="A317" s="25"/>
      <c r="B317" s="25"/>
      <c r="C317" s="25"/>
      <c r="D317" s="26"/>
      <c r="E317" s="26"/>
      <c r="F317" s="25"/>
      <c r="G317" s="25"/>
      <c r="H317" s="25"/>
      <c r="I317" s="26"/>
      <c r="J317" s="26"/>
      <c r="K317" s="2"/>
      <c r="L317" s="2"/>
      <c r="M317" s="2"/>
      <c r="N317" s="2"/>
      <c r="O317" s="2"/>
      <c r="P317" s="2"/>
      <c r="Q317" s="2"/>
      <c r="R317" s="2"/>
      <c r="S317" s="2"/>
      <c r="T317" s="2"/>
      <c r="U317" s="2"/>
      <c r="V317" s="2"/>
      <c r="W317" s="2"/>
      <c r="X317" s="2"/>
      <c r="Y317" s="2"/>
    </row>
    <row r="318">
      <c r="A318" s="25"/>
      <c r="B318" s="25"/>
      <c r="C318" s="25"/>
      <c r="D318" s="26"/>
      <c r="E318" s="26"/>
      <c r="F318" s="25"/>
      <c r="G318" s="25"/>
      <c r="H318" s="25"/>
      <c r="I318" s="26"/>
      <c r="J318" s="26"/>
      <c r="K318" s="2"/>
      <c r="L318" s="2"/>
      <c r="M318" s="2"/>
      <c r="N318" s="2"/>
      <c r="O318" s="2"/>
      <c r="P318" s="2"/>
      <c r="Q318" s="2"/>
      <c r="R318" s="2"/>
      <c r="S318" s="2"/>
      <c r="T318" s="2"/>
      <c r="U318" s="2"/>
      <c r="V318" s="2"/>
      <c r="W318" s="2"/>
      <c r="X318" s="2"/>
      <c r="Y318" s="2"/>
    </row>
    <row r="319">
      <c r="A319" s="25"/>
      <c r="B319" s="25"/>
      <c r="C319" s="25"/>
      <c r="D319" s="26"/>
      <c r="E319" s="26"/>
      <c r="F319" s="25"/>
      <c r="G319" s="25"/>
      <c r="H319" s="25"/>
      <c r="I319" s="26"/>
      <c r="J319" s="26"/>
      <c r="K319" s="2"/>
      <c r="L319" s="2"/>
      <c r="M319" s="2"/>
      <c r="N319" s="2"/>
      <c r="O319" s="2"/>
      <c r="P319" s="2"/>
      <c r="Q319" s="2"/>
      <c r="R319" s="2"/>
      <c r="S319" s="2"/>
      <c r="T319" s="2"/>
      <c r="U319" s="2"/>
      <c r="V319" s="2"/>
      <c r="W319" s="2"/>
      <c r="X319" s="2"/>
      <c r="Y319" s="2"/>
    </row>
    <row r="320">
      <c r="A320" s="25"/>
      <c r="B320" s="25"/>
      <c r="C320" s="25"/>
      <c r="D320" s="26"/>
      <c r="E320" s="26"/>
      <c r="F320" s="25"/>
      <c r="G320" s="25"/>
      <c r="H320" s="25"/>
      <c r="I320" s="26"/>
      <c r="J320" s="26"/>
      <c r="K320" s="2"/>
      <c r="L320" s="2"/>
      <c r="M320" s="2"/>
      <c r="N320" s="2"/>
      <c r="O320" s="2"/>
      <c r="P320" s="2"/>
      <c r="Q320" s="2"/>
      <c r="R320" s="2"/>
      <c r="S320" s="2"/>
      <c r="T320" s="2"/>
      <c r="U320" s="2"/>
      <c r="V320" s="2"/>
      <c r="W320" s="2"/>
      <c r="X320" s="2"/>
      <c r="Y320" s="2"/>
    </row>
    <row r="321">
      <c r="A321" s="25"/>
      <c r="B321" s="25"/>
      <c r="C321" s="25"/>
      <c r="D321" s="26"/>
      <c r="E321" s="26"/>
      <c r="F321" s="25"/>
      <c r="G321" s="25"/>
      <c r="H321" s="25"/>
      <c r="I321" s="26"/>
      <c r="J321" s="26"/>
      <c r="K321" s="2"/>
      <c r="L321" s="2"/>
      <c r="M321" s="2"/>
      <c r="N321" s="2"/>
      <c r="O321" s="2"/>
      <c r="P321" s="2"/>
      <c r="Q321" s="2"/>
      <c r="R321" s="2"/>
      <c r="S321" s="2"/>
      <c r="T321" s="2"/>
      <c r="U321" s="2"/>
      <c r="V321" s="2"/>
      <c r="W321" s="2"/>
      <c r="X321" s="2"/>
      <c r="Y321" s="2"/>
    </row>
    <row r="322">
      <c r="A322" s="25"/>
      <c r="B322" s="25"/>
      <c r="C322" s="25"/>
      <c r="D322" s="26"/>
      <c r="E322" s="26"/>
      <c r="F322" s="25"/>
      <c r="G322" s="25"/>
      <c r="H322" s="25"/>
      <c r="I322" s="26"/>
      <c r="J322" s="26"/>
      <c r="K322" s="2"/>
      <c r="L322" s="2"/>
      <c r="M322" s="2"/>
      <c r="N322" s="2"/>
      <c r="O322" s="2"/>
      <c r="P322" s="2"/>
      <c r="Q322" s="2"/>
      <c r="R322" s="2"/>
      <c r="S322" s="2"/>
      <c r="T322" s="2"/>
      <c r="U322" s="2"/>
      <c r="V322" s="2"/>
      <c r="W322" s="2"/>
      <c r="X322" s="2"/>
      <c r="Y322" s="2"/>
    </row>
    <row r="323">
      <c r="A323" s="25"/>
      <c r="B323" s="25"/>
      <c r="C323" s="25"/>
      <c r="D323" s="26"/>
      <c r="E323" s="26"/>
      <c r="F323" s="25"/>
      <c r="G323" s="25"/>
      <c r="H323" s="25"/>
      <c r="I323" s="26"/>
      <c r="J323" s="26"/>
      <c r="K323" s="2"/>
      <c r="L323" s="2"/>
      <c r="M323" s="2"/>
      <c r="N323" s="2"/>
      <c r="O323" s="2"/>
      <c r="P323" s="2"/>
      <c r="Q323" s="2"/>
      <c r="R323" s="2"/>
      <c r="S323" s="2"/>
      <c r="T323" s="2"/>
      <c r="U323" s="2"/>
      <c r="V323" s="2"/>
      <c r="W323" s="2"/>
      <c r="X323" s="2"/>
      <c r="Y323" s="2"/>
    </row>
    <row r="324">
      <c r="A324" s="25"/>
      <c r="B324" s="25"/>
      <c r="C324" s="25"/>
      <c r="D324" s="26"/>
      <c r="E324" s="26"/>
      <c r="F324" s="25"/>
      <c r="G324" s="25"/>
      <c r="H324" s="25"/>
      <c r="I324" s="26"/>
      <c r="J324" s="26"/>
      <c r="K324" s="2"/>
      <c r="L324" s="2"/>
      <c r="M324" s="2"/>
      <c r="N324" s="2"/>
      <c r="O324" s="2"/>
      <c r="P324" s="2"/>
      <c r="Q324" s="2"/>
      <c r="R324" s="2"/>
      <c r="S324" s="2"/>
      <c r="T324" s="2"/>
      <c r="U324" s="2"/>
      <c r="V324" s="2"/>
      <c r="W324" s="2"/>
      <c r="X324" s="2"/>
      <c r="Y324" s="2"/>
    </row>
    <row r="325">
      <c r="A325" s="25"/>
      <c r="B325" s="25"/>
      <c r="C325" s="25"/>
      <c r="D325" s="26"/>
      <c r="E325" s="26"/>
      <c r="F325" s="25"/>
      <c r="G325" s="25"/>
      <c r="H325" s="25"/>
      <c r="I325" s="26"/>
      <c r="J325" s="26"/>
      <c r="K325" s="2"/>
      <c r="L325" s="2"/>
      <c r="M325" s="2"/>
      <c r="N325" s="2"/>
      <c r="O325" s="2"/>
      <c r="P325" s="2"/>
      <c r="Q325" s="2"/>
      <c r="R325" s="2"/>
      <c r="S325" s="2"/>
      <c r="T325" s="2"/>
      <c r="U325" s="2"/>
      <c r="V325" s="2"/>
      <c r="W325" s="2"/>
      <c r="X325" s="2"/>
      <c r="Y325" s="2"/>
    </row>
    <row r="326">
      <c r="A326" s="25"/>
      <c r="B326" s="25"/>
      <c r="C326" s="25"/>
      <c r="D326" s="26"/>
      <c r="E326" s="26"/>
      <c r="F326" s="25"/>
      <c r="G326" s="25"/>
      <c r="H326" s="25"/>
      <c r="I326" s="26"/>
      <c r="J326" s="26"/>
      <c r="K326" s="2"/>
      <c r="L326" s="2"/>
      <c r="M326" s="2"/>
      <c r="N326" s="2"/>
      <c r="O326" s="2"/>
      <c r="P326" s="2"/>
      <c r="Q326" s="2"/>
      <c r="R326" s="2"/>
      <c r="S326" s="2"/>
      <c r="T326" s="2"/>
      <c r="U326" s="2"/>
      <c r="V326" s="2"/>
      <c r="W326" s="2"/>
      <c r="X326" s="2"/>
      <c r="Y326" s="2"/>
    </row>
    <row r="327">
      <c r="A327" s="25"/>
      <c r="B327" s="25"/>
      <c r="C327" s="25"/>
      <c r="D327" s="26"/>
      <c r="E327" s="26"/>
      <c r="F327" s="25"/>
      <c r="G327" s="25"/>
      <c r="H327" s="25"/>
      <c r="I327" s="26"/>
      <c r="J327" s="26"/>
      <c r="K327" s="2"/>
      <c r="L327" s="2"/>
      <c r="M327" s="2"/>
      <c r="N327" s="2"/>
      <c r="O327" s="2"/>
      <c r="P327" s="2"/>
      <c r="Q327" s="2"/>
      <c r="R327" s="2"/>
      <c r="S327" s="2"/>
      <c r="T327" s="2"/>
      <c r="U327" s="2"/>
      <c r="V327" s="2"/>
      <c r="W327" s="2"/>
      <c r="X327" s="2"/>
      <c r="Y327" s="2"/>
    </row>
    <row r="328">
      <c r="A328" s="25"/>
      <c r="B328" s="25"/>
      <c r="C328" s="25"/>
      <c r="D328" s="26"/>
      <c r="E328" s="26"/>
      <c r="F328" s="25"/>
      <c r="G328" s="25"/>
      <c r="H328" s="25"/>
      <c r="I328" s="26"/>
      <c r="J328" s="26"/>
      <c r="K328" s="2"/>
      <c r="L328" s="2"/>
      <c r="M328" s="2"/>
      <c r="N328" s="2"/>
      <c r="O328" s="2"/>
      <c r="P328" s="2"/>
      <c r="Q328" s="2"/>
      <c r="R328" s="2"/>
      <c r="S328" s="2"/>
      <c r="T328" s="2"/>
      <c r="U328" s="2"/>
      <c r="V328" s="2"/>
      <c r="W328" s="2"/>
      <c r="X328" s="2"/>
      <c r="Y328" s="2"/>
    </row>
    <row r="329">
      <c r="A329" s="25"/>
      <c r="B329" s="25"/>
      <c r="C329" s="25"/>
      <c r="D329" s="26"/>
      <c r="E329" s="26"/>
      <c r="F329" s="25"/>
      <c r="G329" s="25"/>
      <c r="H329" s="25"/>
      <c r="I329" s="26"/>
      <c r="J329" s="26"/>
      <c r="K329" s="2"/>
      <c r="L329" s="2"/>
      <c r="M329" s="2"/>
      <c r="N329" s="2"/>
      <c r="O329" s="2"/>
      <c r="P329" s="2"/>
      <c r="Q329" s="2"/>
      <c r="R329" s="2"/>
      <c r="S329" s="2"/>
      <c r="T329" s="2"/>
      <c r="U329" s="2"/>
      <c r="V329" s="2"/>
      <c r="W329" s="2"/>
      <c r="X329" s="2"/>
      <c r="Y329" s="2"/>
    </row>
    <row r="330">
      <c r="A330" s="25"/>
      <c r="B330" s="25"/>
      <c r="C330" s="25"/>
      <c r="D330" s="26"/>
      <c r="E330" s="26"/>
      <c r="F330" s="25"/>
      <c r="G330" s="25"/>
      <c r="H330" s="25"/>
      <c r="I330" s="26"/>
      <c r="J330" s="26"/>
      <c r="K330" s="2"/>
      <c r="L330" s="2"/>
      <c r="M330" s="2"/>
      <c r="N330" s="2"/>
      <c r="O330" s="2"/>
      <c r="P330" s="2"/>
      <c r="Q330" s="2"/>
      <c r="R330" s="2"/>
      <c r="S330" s="2"/>
      <c r="T330" s="2"/>
      <c r="U330" s="2"/>
      <c r="V330" s="2"/>
      <c r="W330" s="2"/>
      <c r="X330" s="2"/>
      <c r="Y330" s="2"/>
    </row>
    <row r="331">
      <c r="A331" s="25"/>
      <c r="B331" s="25"/>
      <c r="C331" s="25"/>
      <c r="D331" s="26"/>
      <c r="E331" s="26"/>
      <c r="F331" s="25"/>
      <c r="G331" s="25"/>
      <c r="H331" s="25"/>
      <c r="I331" s="26"/>
      <c r="J331" s="26"/>
      <c r="K331" s="2"/>
      <c r="L331" s="2"/>
      <c r="M331" s="2"/>
      <c r="N331" s="2"/>
      <c r="O331" s="2"/>
      <c r="P331" s="2"/>
      <c r="Q331" s="2"/>
      <c r="R331" s="2"/>
      <c r="S331" s="2"/>
      <c r="T331" s="2"/>
      <c r="U331" s="2"/>
      <c r="V331" s="2"/>
      <c r="W331" s="2"/>
      <c r="X331" s="2"/>
      <c r="Y331" s="2"/>
    </row>
    <row r="332">
      <c r="A332" s="25"/>
      <c r="B332" s="25"/>
      <c r="C332" s="25"/>
      <c r="D332" s="26"/>
      <c r="E332" s="26"/>
      <c r="F332" s="25"/>
      <c r="G332" s="25"/>
      <c r="H332" s="25"/>
      <c r="I332" s="26"/>
      <c r="J332" s="26"/>
      <c r="K332" s="2"/>
      <c r="L332" s="2"/>
      <c r="M332" s="2"/>
      <c r="N332" s="2"/>
      <c r="O332" s="2"/>
      <c r="P332" s="2"/>
      <c r="Q332" s="2"/>
      <c r="R332" s="2"/>
      <c r="S332" s="2"/>
      <c r="T332" s="2"/>
      <c r="U332" s="2"/>
      <c r="V332" s="2"/>
      <c r="W332" s="2"/>
      <c r="X332" s="2"/>
      <c r="Y332" s="2"/>
    </row>
    <row r="333">
      <c r="A333" s="25"/>
      <c r="B333" s="25"/>
      <c r="C333" s="25"/>
      <c r="D333" s="26"/>
      <c r="E333" s="26"/>
      <c r="F333" s="25"/>
      <c r="G333" s="25"/>
      <c r="H333" s="25"/>
      <c r="I333" s="26"/>
      <c r="J333" s="26"/>
      <c r="K333" s="2"/>
      <c r="L333" s="2"/>
      <c r="M333" s="2"/>
      <c r="N333" s="2"/>
      <c r="O333" s="2"/>
      <c r="P333" s="2"/>
      <c r="Q333" s="2"/>
      <c r="R333" s="2"/>
      <c r="S333" s="2"/>
      <c r="T333" s="2"/>
      <c r="U333" s="2"/>
      <c r="V333" s="2"/>
      <c r="W333" s="2"/>
      <c r="X333" s="2"/>
      <c r="Y333" s="2"/>
    </row>
    <row r="334">
      <c r="A334" s="25"/>
      <c r="B334" s="25"/>
      <c r="C334" s="25"/>
      <c r="D334" s="26"/>
      <c r="E334" s="26"/>
      <c r="F334" s="25"/>
      <c r="G334" s="25"/>
      <c r="H334" s="25"/>
      <c r="I334" s="26"/>
      <c r="J334" s="26"/>
      <c r="K334" s="2"/>
      <c r="L334" s="2"/>
      <c r="M334" s="2"/>
      <c r="N334" s="2"/>
      <c r="O334" s="2"/>
      <c r="P334" s="2"/>
      <c r="Q334" s="2"/>
      <c r="R334" s="2"/>
      <c r="S334" s="2"/>
      <c r="T334" s="2"/>
      <c r="U334" s="2"/>
      <c r="V334" s="2"/>
      <c r="W334" s="2"/>
      <c r="X334" s="2"/>
      <c r="Y334" s="2"/>
    </row>
    <row r="335">
      <c r="A335" s="25"/>
      <c r="B335" s="25"/>
      <c r="C335" s="25"/>
      <c r="D335" s="26"/>
      <c r="E335" s="26"/>
      <c r="F335" s="25"/>
      <c r="G335" s="25"/>
      <c r="H335" s="25"/>
      <c r="I335" s="26"/>
      <c r="J335" s="26"/>
      <c r="K335" s="2"/>
      <c r="L335" s="2"/>
      <c r="M335" s="2"/>
      <c r="N335" s="2"/>
      <c r="O335" s="2"/>
      <c r="P335" s="2"/>
      <c r="Q335" s="2"/>
      <c r="R335" s="2"/>
      <c r="S335" s="2"/>
      <c r="T335" s="2"/>
      <c r="U335" s="2"/>
      <c r="V335" s="2"/>
      <c r="W335" s="2"/>
      <c r="X335" s="2"/>
      <c r="Y335" s="2"/>
    </row>
    <row r="336">
      <c r="A336" s="25"/>
      <c r="B336" s="25"/>
      <c r="C336" s="25"/>
      <c r="D336" s="26"/>
      <c r="E336" s="26"/>
      <c r="F336" s="25"/>
      <c r="G336" s="25"/>
      <c r="H336" s="25"/>
      <c r="I336" s="26"/>
      <c r="J336" s="26"/>
      <c r="K336" s="2"/>
      <c r="L336" s="2"/>
      <c r="M336" s="2"/>
      <c r="N336" s="2"/>
      <c r="O336" s="2"/>
      <c r="P336" s="2"/>
      <c r="Q336" s="2"/>
      <c r="R336" s="2"/>
      <c r="S336" s="2"/>
      <c r="T336" s="2"/>
      <c r="U336" s="2"/>
      <c r="V336" s="2"/>
      <c r="W336" s="2"/>
      <c r="X336" s="2"/>
      <c r="Y336" s="2"/>
    </row>
    <row r="337">
      <c r="A337" s="25"/>
      <c r="B337" s="25"/>
      <c r="C337" s="25"/>
      <c r="D337" s="26"/>
      <c r="E337" s="26"/>
      <c r="F337" s="25"/>
      <c r="G337" s="25"/>
      <c r="H337" s="25"/>
      <c r="I337" s="26"/>
      <c r="J337" s="26"/>
      <c r="K337" s="2"/>
      <c r="L337" s="2"/>
      <c r="M337" s="2"/>
      <c r="N337" s="2"/>
      <c r="O337" s="2"/>
      <c r="P337" s="2"/>
      <c r="Q337" s="2"/>
      <c r="R337" s="2"/>
      <c r="S337" s="2"/>
      <c r="T337" s="2"/>
      <c r="U337" s="2"/>
      <c r="V337" s="2"/>
      <c r="W337" s="2"/>
      <c r="X337" s="2"/>
      <c r="Y337" s="2"/>
    </row>
    <row r="338">
      <c r="A338" s="25"/>
      <c r="B338" s="25"/>
      <c r="C338" s="25"/>
      <c r="D338" s="26"/>
      <c r="E338" s="26"/>
      <c r="F338" s="25"/>
      <c r="G338" s="25"/>
      <c r="H338" s="25"/>
      <c r="I338" s="26"/>
      <c r="J338" s="26"/>
      <c r="K338" s="2"/>
      <c r="L338" s="2"/>
      <c r="M338" s="2"/>
      <c r="N338" s="2"/>
      <c r="O338" s="2"/>
      <c r="P338" s="2"/>
      <c r="Q338" s="2"/>
      <c r="R338" s="2"/>
      <c r="S338" s="2"/>
      <c r="T338" s="2"/>
      <c r="U338" s="2"/>
      <c r="V338" s="2"/>
      <c r="W338" s="2"/>
      <c r="X338" s="2"/>
      <c r="Y338" s="2"/>
    </row>
    <row r="339">
      <c r="A339" s="25"/>
      <c r="B339" s="25"/>
      <c r="C339" s="25"/>
      <c r="D339" s="26"/>
      <c r="E339" s="26"/>
      <c r="F339" s="25"/>
      <c r="G339" s="25"/>
      <c r="H339" s="25"/>
      <c r="I339" s="26"/>
      <c r="J339" s="26"/>
      <c r="K339" s="2"/>
      <c r="L339" s="2"/>
      <c r="M339" s="2"/>
      <c r="N339" s="2"/>
      <c r="O339" s="2"/>
      <c r="P339" s="2"/>
      <c r="Q339" s="2"/>
      <c r="R339" s="2"/>
      <c r="S339" s="2"/>
      <c r="T339" s="2"/>
      <c r="U339" s="2"/>
      <c r="V339" s="2"/>
      <c r="W339" s="2"/>
      <c r="X339" s="2"/>
      <c r="Y339" s="2"/>
    </row>
    <row r="340">
      <c r="A340" s="25"/>
      <c r="B340" s="25"/>
      <c r="C340" s="25"/>
      <c r="D340" s="26"/>
      <c r="E340" s="26"/>
      <c r="F340" s="25"/>
      <c r="G340" s="25"/>
      <c r="H340" s="25"/>
      <c r="I340" s="26"/>
      <c r="J340" s="26"/>
      <c r="K340" s="2"/>
      <c r="L340" s="2"/>
      <c r="M340" s="2"/>
      <c r="N340" s="2"/>
      <c r="O340" s="2"/>
      <c r="P340" s="2"/>
      <c r="Q340" s="2"/>
      <c r="R340" s="2"/>
      <c r="S340" s="2"/>
      <c r="T340" s="2"/>
      <c r="U340" s="2"/>
      <c r="V340" s="2"/>
      <c r="W340" s="2"/>
      <c r="X340" s="2"/>
      <c r="Y340" s="2"/>
    </row>
    <row r="341">
      <c r="A341" s="25"/>
      <c r="B341" s="25"/>
      <c r="C341" s="25"/>
      <c r="D341" s="26"/>
      <c r="E341" s="26"/>
      <c r="F341" s="25"/>
      <c r="G341" s="25"/>
      <c r="H341" s="25"/>
      <c r="I341" s="26"/>
      <c r="J341" s="26"/>
      <c r="K341" s="2"/>
      <c r="L341" s="2"/>
      <c r="M341" s="2"/>
      <c r="N341" s="2"/>
      <c r="O341" s="2"/>
      <c r="P341" s="2"/>
      <c r="Q341" s="2"/>
      <c r="R341" s="2"/>
      <c r="S341" s="2"/>
      <c r="T341" s="2"/>
      <c r="U341" s="2"/>
      <c r="V341" s="2"/>
      <c r="W341" s="2"/>
      <c r="X341" s="2"/>
      <c r="Y341" s="2"/>
    </row>
    <row r="342">
      <c r="A342" s="25"/>
      <c r="B342" s="25"/>
      <c r="C342" s="25"/>
      <c r="D342" s="26"/>
      <c r="E342" s="26"/>
      <c r="F342" s="25"/>
      <c r="G342" s="25"/>
      <c r="H342" s="25"/>
      <c r="I342" s="26"/>
      <c r="J342" s="26"/>
      <c r="K342" s="2"/>
      <c r="L342" s="2"/>
      <c r="M342" s="2"/>
      <c r="N342" s="2"/>
      <c r="O342" s="2"/>
      <c r="P342" s="2"/>
      <c r="Q342" s="2"/>
      <c r="R342" s="2"/>
      <c r="S342" s="2"/>
      <c r="T342" s="2"/>
      <c r="U342" s="2"/>
      <c r="V342" s="2"/>
      <c r="W342" s="2"/>
      <c r="X342" s="2"/>
      <c r="Y342" s="2"/>
    </row>
    <row r="343">
      <c r="A343" s="25"/>
      <c r="B343" s="25"/>
      <c r="C343" s="25"/>
      <c r="D343" s="26"/>
      <c r="E343" s="26"/>
      <c r="F343" s="25"/>
      <c r="G343" s="25"/>
      <c r="H343" s="25"/>
      <c r="I343" s="26"/>
      <c r="J343" s="26"/>
      <c r="K343" s="2"/>
      <c r="L343" s="2"/>
      <c r="M343" s="2"/>
      <c r="N343" s="2"/>
      <c r="O343" s="2"/>
      <c r="P343" s="2"/>
      <c r="Q343" s="2"/>
      <c r="R343" s="2"/>
      <c r="S343" s="2"/>
      <c r="T343" s="2"/>
      <c r="U343" s="2"/>
      <c r="V343" s="2"/>
      <c r="W343" s="2"/>
      <c r="X343" s="2"/>
      <c r="Y343" s="2"/>
    </row>
    <row r="344">
      <c r="A344" s="25"/>
      <c r="B344" s="25"/>
      <c r="C344" s="25"/>
      <c r="D344" s="26"/>
      <c r="E344" s="26"/>
      <c r="F344" s="25"/>
      <c r="G344" s="25"/>
      <c r="H344" s="25"/>
      <c r="I344" s="26"/>
      <c r="J344" s="26"/>
      <c r="K344" s="2"/>
      <c r="L344" s="2"/>
      <c r="M344" s="2"/>
      <c r="N344" s="2"/>
      <c r="O344" s="2"/>
      <c r="P344" s="2"/>
      <c r="Q344" s="2"/>
      <c r="R344" s="2"/>
      <c r="S344" s="2"/>
      <c r="T344" s="2"/>
      <c r="U344" s="2"/>
      <c r="V344" s="2"/>
      <c r="W344" s="2"/>
      <c r="X344" s="2"/>
      <c r="Y344" s="2"/>
    </row>
    <row r="345">
      <c r="A345" s="25"/>
      <c r="B345" s="25"/>
      <c r="C345" s="25"/>
      <c r="D345" s="26"/>
      <c r="E345" s="26"/>
      <c r="F345" s="25"/>
      <c r="G345" s="25"/>
      <c r="H345" s="25"/>
      <c r="I345" s="26"/>
      <c r="J345" s="26"/>
      <c r="K345" s="2"/>
      <c r="L345" s="2"/>
      <c r="M345" s="2"/>
      <c r="N345" s="2"/>
      <c r="O345" s="2"/>
      <c r="P345" s="2"/>
      <c r="Q345" s="2"/>
      <c r="R345" s="2"/>
      <c r="S345" s="2"/>
      <c r="T345" s="2"/>
      <c r="U345" s="2"/>
      <c r="V345" s="2"/>
      <c r="W345" s="2"/>
      <c r="X345" s="2"/>
      <c r="Y345" s="2"/>
    </row>
    <row r="346">
      <c r="A346" s="25"/>
      <c r="B346" s="25"/>
      <c r="C346" s="25"/>
      <c r="D346" s="26"/>
      <c r="E346" s="26"/>
      <c r="F346" s="25"/>
      <c r="G346" s="25"/>
      <c r="H346" s="25"/>
      <c r="I346" s="26"/>
      <c r="J346" s="26"/>
      <c r="K346" s="2"/>
      <c r="L346" s="2"/>
      <c r="M346" s="2"/>
      <c r="N346" s="2"/>
      <c r="O346" s="2"/>
      <c r="P346" s="2"/>
      <c r="Q346" s="2"/>
      <c r="R346" s="2"/>
      <c r="S346" s="2"/>
      <c r="T346" s="2"/>
      <c r="U346" s="2"/>
      <c r="V346" s="2"/>
      <c r="W346" s="2"/>
      <c r="X346" s="2"/>
      <c r="Y346" s="2"/>
    </row>
    <row r="347">
      <c r="A347" s="25"/>
      <c r="B347" s="25"/>
      <c r="C347" s="25"/>
      <c r="D347" s="26"/>
      <c r="E347" s="26"/>
      <c r="F347" s="25"/>
      <c r="G347" s="25"/>
      <c r="H347" s="25"/>
      <c r="I347" s="26"/>
      <c r="J347" s="26"/>
      <c r="K347" s="2"/>
      <c r="L347" s="2"/>
      <c r="M347" s="2"/>
      <c r="N347" s="2"/>
      <c r="O347" s="2"/>
      <c r="P347" s="2"/>
      <c r="Q347" s="2"/>
      <c r="R347" s="2"/>
      <c r="S347" s="2"/>
      <c r="T347" s="2"/>
      <c r="U347" s="2"/>
      <c r="V347" s="2"/>
      <c r="W347" s="2"/>
      <c r="X347" s="2"/>
      <c r="Y347" s="2"/>
    </row>
    <row r="348">
      <c r="A348" s="25"/>
      <c r="B348" s="25"/>
      <c r="C348" s="25"/>
      <c r="D348" s="26"/>
      <c r="E348" s="26"/>
      <c r="F348" s="25"/>
      <c r="G348" s="25"/>
      <c r="H348" s="25"/>
      <c r="I348" s="26"/>
      <c r="J348" s="26"/>
      <c r="K348" s="2"/>
      <c r="L348" s="2"/>
      <c r="M348" s="2"/>
      <c r="N348" s="2"/>
      <c r="O348" s="2"/>
      <c r="P348" s="2"/>
      <c r="Q348" s="2"/>
      <c r="R348" s="2"/>
      <c r="S348" s="2"/>
      <c r="T348" s="2"/>
      <c r="U348" s="2"/>
      <c r="V348" s="2"/>
      <c r="W348" s="2"/>
      <c r="X348" s="2"/>
      <c r="Y348" s="2"/>
    </row>
    <row r="349">
      <c r="A349" s="25"/>
      <c r="B349" s="25"/>
      <c r="C349" s="25"/>
      <c r="D349" s="26"/>
      <c r="E349" s="26"/>
      <c r="F349" s="25"/>
      <c r="G349" s="25"/>
      <c r="H349" s="25"/>
      <c r="I349" s="26"/>
      <c r="J349" s="26"/>
      <c r="K349" s="2"/>
      <c r="L349" s="2"/>
      <c r="M349" s="2"/>
      <c r="N349" s="2"/>
      <c r="O349" s="2"/>
      <c r="P349" s="2"/>
      <c r="Q349" s="2"/>
      <c r="R349" s="2"/>
      <c r="S349" s="2"/>
      <c r="T349" s="2"/>
      <c r="U349" s="2"/>
      <c r="V349" s="2"/>
      <c r="W349" s="2"/>
      <c r="X349" s="2"/>
      <c r="Y349" s="2"/>
    </row>
    <row r="350">
      <c r="A350" s="25"/>
      <c r="B350" s="25"/>
      <c r="C350" s="25"/>
      <c r="D350" s="26"/>
      <c r="E350" s="26"/>
      <c r="F350" s="25"/>
      <c r="G350" s="25"/>
      <c r="H350" s="25"/>
      <c r="I350" s="26"/>
      <c r="J350" s="26"/>
      <c r="K350" s="2"/>
      <c r="L350" s="2"/>
      <c r="M350" s="2"/>
      <c r="N350" s="2"/>
      <c r="O350" s="2"/>
      <c r="P350" s="2"/>
      <c r="Q350" s="2"/>
      <c r="R350" s="2"/>
      <c r="S350" s="2"/>
      <c r="T350" s="2"/>
      <c r="U350" s="2"/>
      <c r="V350" s="2"/>
      <c r="W350" s="2"/>
      <c r="X350" s="2"/>
      <c r="Y350" s="2"/>
    </row>
    <row r="351">
      <c r="A351" s="25"/>
      <c r="B351" s="25"/>
      <c r="C351" s="25"/>
      <c r="D351" s="26"/>
      <c r="E351" s="26"/>
      <c r="F351" s="25"/>
      <c r="G351" s="25"/>
      <c r="H351" s="25"/>
      <c r="I351" s="26"/>
      <c r="J351" s="26"/>
      <c r="K351" s="2"/>
      <c r="L351" s="2"/>
      <c r="M351" s="2"/>
      <c r="N351" s="2"/>
      <c r="O351" s="2"/>
      <c r="P351" s="2"/>
      <c r="Q351" s="2"/>
      <c r="R351" s="2"/>
      <c r="S351" s="2"/>
      <c r="T351" s="2"/>
      <c r="U351" s="2"/>
      <c r="V351" s="2"/>
      <c r="W351" s="2"/>
      <c r="X351" s="2"/>
      <c r="Y351" s="2"/>
    </row>
    <row r="352">
      <c r="A352" s="25"/>
      <c r="B352" s="25"/>
      <c r="C352" s="25"/>
      <c r="D352" s="26"/>
      <c r="E352" s="26"/>
      <c r="F352" s="25"/>
      <c r="G352" s="25"/>
      <c r="H352" s="25"/>
      <c r="I352" s="26"/>
      <c r="J352" s="26"/>
      <c r="K352" s="2"/>
      <c r="L352" s="2"/>
      <c r="M352" s="2"/>
      <c r="N352" s="2"/>
      <c r="O352" s="2"/>
      <c r="P352" s="2"/>
      <c r="Q352" s="2"/>
      <c r="R352" s="2"/>
      <c r="S352" s="2"/>
      <c r="T352" s="2"/>
      <c r="U352" s="2"/>
      <c r="V352" s="2"/>
      <c r="W352" s="2"/>
      <c r="X352" s="2"/>
      <c r="Y352" s="2"/>
    </row>
    <row r="353">
      <c r="A353" s="25"/>
      <c r="B353" s="25"/>
      <c r="C353" s="25"/>
      <c r="D353" s="26"/>
      <c r="E353" s="26"/>
      <c r="F353" s="25"/>
      <c r="G353" s="25"/>
      <c r="H353" s="25"/>
      <c r="I353" s="26"/>
      <c r="J353" s="26"/>
      <c r="K353" s="2"/>
      <c r="L353" s="2"/>
      <c r="M353" s="2"/>
      <c r="N353" s="2"/>
      <c r="O353" s="2"/>
      <c r="P353" s="2"/>
      <c r="Q353" s="2"/>
      <c r="R353" s="2"/>
      <c r="S353" s="2"/>
      <c r="T353" s="2"/>
      <c r="U353" s="2"/>
      <c r="V353" s="2"/>
      <c r="W353" s="2"/>
      <c r="X353" s="2"/>
      <c r="Y353" s="2"/>
    </row>
    <row r="354">
      <c r="A354" s="25"/>
      <c r="B354" s="25"/>
      <c r="C354" s="25"/>
      <c r="D354" s="26"/>
      <c r="E354" s="26"/>
      <c r="F354" s="25"/>
      <c r="G354" s="25"/>
      <c r="H354" s="25"/>
      <c r="I354" s="26"/>
      <c r="J354" s="26"/>
      <c r="K354" s="2"/>
      <c r="L354" s="2"/>
      <c r="M354" s="2"/>
      <c r="N354" s="2"/>
      <c r="O354" s="2"/>
      <c r="P354" s="2"/>
      <c r="Q354" s="2"/>
      <c r="R354" s="2"/>
      <c r="S354" s="2"/>
      <c r="T354" s="2"/>
      <c r="U354" s="2"/>
      <c r="V354" s="2"/>
      <c r="W354" s="2"/>
      <c r="X354" s="2"/>
      <c r="Y354" s="2"/>
    </row>
    <row r="355">
      <c r="A355" s="25"/>
      <c r="B355" s="25"/>
      <c r="C355" s="25"/>
      <c r="D355" s="26"/>
      <c r="E355" s="26"/>
      <c r="F355" s="25"/>
      <c r="G355" s="25"/>
      <c r="H355" s="25"/>
      <c r="I355" s="26"/>
      <c r="J355" s="26"/>
      <c r="K355" s="2"/>
      <c r="L355" s="2"/>
      <c r="M355" s="2"/>
      <c r="N355" s="2"/>
      <c r="O355" s="2"/>
      <c r="P355" s="2"/>
      <c r="Q355" s="2"/>
      <c r="R355" s="2"/>
      <c r="S355" s="2"/>
      <c r="T355" s="2"/>
      <c r="U355" s="2"/>
      <c r="V355" s="2"/>
      <c r="W355" s="2"/>
      <c r="X355" s="2"/>
      <c r="Y355" s="2"/>
    </row>
    <row r="356">
      <c r="A356" s="25"/>
      <c r="B356" s="25"/>
      <c r="C356" s="25"/>
      <c r="D356" s="26"/>
      <c r="E356" s="26"/>
      <c r="F356" s="25"/>
      <c r="G356" s="25"/>
      <c r="H356" s="25"/>
      <c r="I356" s="26"/>
      <c r="J356" s="26"/>
      <c r="K356" s="2"/>
      <c r="L356" s="2"/>
      <c r="M356" s="2"/>
      <c r="N356" s="2"/>
      <c r="O356" s="2"/>
      <c r="P356" s="2"/>
      <c r="Q356" s="2"/>
      <c r="R356" s="2"/>
      <c r="S356" s="2"/>
      <c r="T356" s="2"/>
      <c r="U356" s="2"/>
      <c r="V356" s="2"/>
      <c r="W356" s="2"/>
      <c r="X356" s="2"/>
      <c r="Y356" s="2"/>
    </row>
    <row r="357">
      <c r="A357" s="25"/>
      <c r="B357" s="25"/>
      <c r="C357" s="25"/>
      <c r="D357" s="26"/>
      <c r="E357" s="26"/>
      <c r="F357" s="25"/>
      <c r="G357" s="25"/>
      <c r="H357" s="25"/>
      <c r="I357" s="26"/>
      <c r="J357" s="26"/>
      <c r="K357" s="2"/>
      <c r="L357" s="2"/>
      <c r="M357" s="2"/>
      <c r="N357" s="2"/>
      <c r="O357" s="2"/>
      <c r="P357" s="2"/>
      <c r="Q357" s="2"/>
      <c r="R357" s="2"/>
      <c r="S357" s="2"/>
      <c r="T357" s="2"/>
      <c r="U357" s="2"/>
      <c r="V357" s="2"/>
      <c r="W357" s="2"/>
      <c r="X357" s="2"/>
      <c r="Y357" s="2"/>
    </row>
    <row r="358">
      <c r="A358" s="25"/>
      <c r="B358" s="25"/>
      <c r="C358" s="25"/>
      <c r="D358" s="26"/>
      <c r="E358" s="26"/>
      <c r="F358" s="25"/>
      <c r="G358" s="25"/>
      <c r="H358" s="25"/>
      <c r="I358" s="26"/>
      <c r="J358" s="26"/>
      <c r="K358" s="2"/>
      <c r="L358" s="2"/>
      <c r="M358" s="2"/>
      <c r="N358" s="2"/>
      <c r="O358" s="2"/>
      <c r="P358" s="2"/>
      <c r="Q358" s="2"/>
      <c r="R358" s="2"/>
      <c r="S358" s="2"/>
      <c r="T358" s="2"/>
      <c r="U358" s="2"/>
      <c r="V358" s="2"/>
      <c r="W358" s="2"/>
      <c r="X358" s="2"/>
      <c r="Y358" s="2"/>
    </row>
    <row r="359">
      <c r="A359" s="25"/>
      <c r="B359" s="25"/>
      <c r="C359" s="25"/>
      <c r="D359" s="26"/>
      <c r="E359" s="26"/>
      <c r="F359" s="25"/>
      <c r="G359" s="25"/>
      <c r="H359" s="25"/>
      <c r="I359" s="26"/>
      <c r="J359" s="26"/>
      <c r="K359" s="2"/>
      <c r="L359" s="2"/>
      <c r="M359" s="2"/>
      <c r="N359" s="2"/>
      <c r="O359" s="2"/>
      <c r="P359" s="2"/>
      <c r="Q359" s="2"/>
      <c r="R359" s="2"/>
      <c r="S359" s="2"/>
      <c r="T359" s="2"/>
      <c r="U359" s="2"/>
      <c r="V359" s="2"/>
      <c r="W359" s="2"/>
      <c r="X359" s="2"/>
      <c r="Y359" s="2"/>
    </row>
    <row r="360">
      <c r="A360" s="25"/>
      <c r="B360" s="25"/>
      <c r="C360" s="25"/>
      <c r="D360" s="26"/>
      <c r="E360" s="26"/>
      <c r="F360" s="25"/>
      <c r="G360" s="25"/>
      <c r="H360" s="25"/>
      <c r="I360" s="26"/>
      <c r="J360" s="26"/>
      <c r="K360" s="2"/>
      <c r="L360" s="2"/>
      <c r="M360" s="2"/>
      <c r="N360" s="2"/>
      <c r="O360" s="2"/>
      <c r="P360" s="2"/>
      <c r="Q360" s="2"/>
      <c r="R360" s="2"/>
      <c r="S360" s="2"/>
      <c r="T360" s="2"/>
      <c r="U360" s="2"/>
      <c r="V360" s="2"/>
      <c r="W360" s="2"/>
      <c r="X360" s="2"/>
      <c r="Y360" s="2"/>
    </row>
    <row r="361">
      <c r="A361" s="25"/>
      <c r="B361" s="25"/>
      <c r="C361" s="25"/>
      <c r="D361" s="26"/>
      <c r="E361" s="26"/>
      <c r="F361" s="25"/>
      <c r="G361" s="25"/>
      <c r="H361" s="25"/>
      <c r="I361" s="26"/>
      <c r="J361" s="26"/>
      <c r="K361" s="2"/>
      <c r="L361" s="2"/>
      <c r="M361" s="2"/>
      <c r="N361" s="2"/>
      <c r="O361" s="2"/>
      <c r="P361" s="2"/>
      <c r="Q361" s="2"/>
      <c r="R361" s="2"/>
      <c r="S361" s="2"/>
      <c r="T361" s="2"/>
      <c r="U361" s="2"/>
      <c r="V361" s="2"/>
      <c r="W361" s="2"/>
      <c r="X361" s="2"/>
      <c r="Y361" s="2"/>
    </row>
    <row r="362">
      <c r="A362" s="25"/>
      <c r="B362" s="25"/>
      <c r="C362" s="25"/>
      <c r="D362" s="26"/>
      <c r="E362" s="26"/>
      <c r="F362" s="25"/>
      <c r="G362" s="25"/>
      <c r="H362" s="25"/>
      <c r="I362" s="26"/>
      <c r="J362" s="26"/>
      <c r="K362" s="2"/>
      <c r="L362" s="2"/>
      <c r="M362" s="2"/>
      <c r="N362" s="2"/>
      <c r="O362" s="2"/>
      <c r="P362" s="2"/>
      <c r="Q362" s="2"/>
      <c r="R362" s="2"/>
      <c r="S362" s="2"/>
      <c r="T362" s="2"/>
      <c r="U362" s="2"/>
      <c r="V362" s="2"/>
      <c r="W362" s="2"/>
      <c r="X362" s="2"/>
      <c r="Y362" s="2"/>
    </row>
    <row r="363">
      <c r="A363" s="25"/>
      <c r="B363" s="25"/>
      <c r="C363" s="25"/>
      <c r="D363" s="26"/>
      <c r="E363" s="26"/>
      <c r="F363" s="25"/>
      <c r="G363" s="25"/>
      <c r="H363" s="25"/>
      <c r="I363" s="26"/>
      <c r="J363" s="26"/>
      <c r="K363" s="2"/>
      <c r="L363" s="2"/>
      <c r="M363" s="2"/>
      <c r="N363" s="2"/>
      <c r="O363" s="2"/>
      <c r="P363" s="2"/>
      <c r="Q363" s="2"/>
      <c r="R363" s="2"/>
      <c r="S363" s="2"/>
      <c r="T363" s="2"/>
      <c r="U363" s="2"/>
      <c r="V363" s="2"/>
      <c r="W363" s="2"/>
      <c r="X363" s="2"/>
      <c r="Y363" s="2"/>
    </row>
    <row r="364">
      <c r="A364" s="25"/>
      <c r="B364" s="25"/>
      <c r="C364" s="25"/>
      <c r="D364" s="26"/>
      <c r="E364" s="26"/>
      <c r="F364" s="25"/>
      <c r="G364" s="25"/>
      <c r="H364" s="25"/>
      <c r="I364" s="26"/>
      <c r="J364" s="26"/>
      <c r="K364" s="2"/>
      <c r="L364" s="2"/>
      <c r="M364" s="2"/>
      <c r="N364" s="2"/>
      <c r="O364" s="2"/>
      <c r="P364" s="2"/>
      <c r="Q364" s="2"/>
      <c r="R364" s="2"/>
      <c r="S364" s="2"/>
      <c r="T364" s="2"/>
      <c r="U364" s="2"/>
      <c r="V364" s="2"/>
      <c r="W364" s="2"/>
      <c r="X364" s="2"/>
      <c r="Y364" s="2"/>
    </row>
    <row r="365">
      <c r="A365" s="25"/>
      <c r="B365" s="25"/>
      <c r="C365" s="25"/>
      <c r="D365" s="26"/>
      <c r="E365" s="26"/>
      <c r="F365" s="25"/>
      <c r="G365" s="25"/>
      <c r="H365" s="25"/>
      <c r="I365" s="26"/>
      <c r="J365" s="26"/>
      <c r="K365" s="2"/>
      <c r="L365" s="2"/>
      <c r="M365" s="2"/>
      <c r="N365" s="2"/>
      <c r="O365" s="2"/>
      <c r="P365" s="2"/>
      <c r="Q365" s="2"/>
      <c r="R365" s="2"/>
      <c r="S365" s="2"/>
      <c r="T365" s="2"/>
      <c r="U365" s="2"/>
      <c r="V365" s="2"/>
      <c r="W365" s="2"/>
      <c r="X365" s="2"/>
      <c r="Y365" s="2"/>
    </row>
    <row r="366">
      <c r="A366" s="25"/>
      <c r="B366" s="25"/>
      <c r="C366" s="25"/>
      <c r="D366" s="26"/>
      <c r="E366" s="26"/>
      <c r="F366" s="25"/>
      <c r="G366" s="25"/>
      <c r="H366" s="25"/>
      <c r="I366" s="26"/>
      <c r="J366" s="26"/>
      <c r="K366" s="2"/>
      <c r="L366" s="2"/>
      <c r="M366" s="2"/>
      <c r="N366" s="2"/>
      <c r="O366" s="2"/>
      <c r="P366" s="2"/>
      <c r="Q366" s="2"/>
      <c r="R366" s="2"/>
      <c r="S366" s="2"/>
      <c r="T366" s="2"/>
      <c r="U366" s="2"/>
      <c r="V366" s="2"/>
      <c r="W366" s="2"/>
      <c r="X366" s="2"/>
      <c r="Y366" s="2"/>
    </row>
    <row r="367">
      <c r="A367" s="25"/>
      <c r="B367" s="25"/>
      <c r="C367" s="25"/>
      <c r="D367" s="26"/>
      <c r="E367" s="26"/>
      <c r="F367" s="25"/>
      <c r="G367" s="25"/>
      <c r="H367" s="25"/>
      <c r="I367" s="26"/>
      <c r="J367" s="26"/>
      <c r="K367" s="2"/>
      <c r="L367" s="2"/>
      <c r="M367" s="2"/>
      <c r="N367" s="2"/>
      <c r="O367" s="2"/>
      <c r="P367" s="2"/>
      <c r="Q367" s="2"/>
      <c r="R367" s="2"/>
      <c r="S367" s="2"/>
      <c r="T367" s="2"/>
      <c r="U367" s="2"/>
      <c r="V367" s="2"/>
      <c r="W367" s="2"/>
      <c r="X367" s="2"/>
      <c r="Y367" s="2"/>
    </row>
    <row r="368">
      <c r="A368" s="25"/>
      <c r="B368" s="25"/>
      <c r="C368" s="25"/>
      <c r="D368" s="26"/>
      <c r="E368" s="26"/>
      <c r="F368" s="25"/>
      <c r="G368" s="25"/>
      <c r="H368" s="25"/>
      <c r="I368" s="26"/>
      <c r="J368" s="26"/>
      <c r="K368" s="2"/>
      <c r="L368" s="2"/>
      <c r="M368" s="2"/>
      <c r="N368" s="2"/>
      <c r="O368" s="2"/>
      <c r="P368" s="2"/>
      <c r="Q368" s="2"/>
      <c r="R368" s="2"/>
      <c r="S368" s="2"/>
      <c r="T368" s="2"/>
      <c r="U368" s="2"/>
      <c r="V368" s="2"/>
      <c r="W368" s="2"/>
      <c r="X368" s="2"/>
      <c r="Y368" s="2"/>
    </row>
    <row r="369">
      <c r="A369" s="25"/>
      <c r="B369" s="25"/>
      <c r="C369" s="25"/>
      <c r="D369" s="26"/>
      <c r="E369" s="26"/>
      <c r="F369" s="25"/>
      <c r="G369" s="25"/>
      <c r="H369" s="25"/>
      <c r="I369" s="26"/>
      <c r="J369" s="26"/>
      <c r="K369" s="2"/>
      <c r="L369" s="2"/>
      <c r="M369" s="2"/>
      <c r="N369" s="2"/>
      <c r="O369" s="2"/>
      <c r="P369" s="2"/>
      <c r="Q369" s="2"/>
      <c r="R369" s="2"/>
      <c r="S369" s="2"/>
      <c r="T369" s="2"/>
      <c r="U369" s="2"/>
      <c r="V369" s="2"/>
      <c r="W369" s="2"/>
      <c r="X369" s="2"/>
      <c r="Y369" s="2"/>
    </row>
    <row r="370">
      <c r="A370" s="25"/>
      <c r="B370" s="25"/>
      <c r="C370" s="25"/>
      <c r="D370" s="26"/>
      <c r="E370" s="26"/>
      <c r="F370" s="25"/>
      <c r="G370" s="25"/>
      <c r="H370" s="25"/>
      <c r="I370" s="26"/>
      <c r="J370" s="26"/>
      <c r="K370" s="2"/>
      <c r="L370" s="2"/>
      <c r="M370" s="2"/>
      <c r="N370" s="2"/>
      <c r="O370" s="2"/>
      <c r="P370" s="2"/>
      <c r="Q370" s="2"/>
      <c r="R370" s="2"/>
      <c r="S370" s="2"/>
      <c r="T370" s="2"/>
      <c r="U370" s="2"/>
      <c r="V370" s="2"/>
      <c r="W370" s="2"/>
      <c r="X370" s="2"/>
      <c r="Y370" s="2"/>
    </row>
    <row r="371">
      <c r="A371" s="25"/>
      <c r="B371" s="25"/>
      <c r="C371" s="25"/>
      <c r="D371" s="26"/>
      <c r="E371" s="26"/>
      <c r="F371" s="25"/>
      <c r="G371" s="25"/>
      <c r="H371" s="25"/>
      <c r="I371" s="26"/>
      <c r="J371" s="26"/>
      <c r="K371" s="2"/>
      <c r="L371" s="2"/>
      <c r="M371" s="2"/>
      <c r="N371" s="2"/>
      <c r="O371" s="2"/>
      <c r="P371" s="2"/>
      <c r="Q371" s="2"/>
      <c r="R371" s="2"/>
      <c r="S371" s="2"/>
      <c r="T371" s="2"/>
      <c r="U371" s="2"/>
      <c r="V371" s="2"/>
      <c r="W371" s="2"/>
      <c r="X371" s="2"/>
      <c r="Y371" s="2"/>
    </row>
    <row r="372">
      <c r="A372" s="25"/>
      <c r="B372" s="25"/>
      <c r="C372" s="25"/>
      <c r="D372" s="26"/>
      <c r="E372" s="26"/>
      <c r="F372" s="25"/>
      <c r="G372" s="25"/>
      <c r="H372" s="25"/>
      <c r="I372" s="26"/>
      <c r="J372" s="26"/>
      <c r="K372" s="2"/>
      <c r="L372" s="2"/>
      <c r="M372" s="2"/>
      <c r="N372" s="2"/>
      <c r="O372" s="2"/>
      <c r="P372" s="2"/>
      <c r="Q372" s="2"/>
      <c r="R372" s="2"/>
      <c r="S372" s="2"/>
      <c r="T372" s="2"/>
      <c r="U372" s="2"/>
      <c r="V372" s="2"/>
      <c r="W372" s="2"/>
      <c r="X372" s="2"/>
      <c r="Y372" s="2"/>
    </row>
    <row r="373">
      <c r="A373" s="25"/>
      <c r="B373" s="25"/>
      <c r="C373" s="25"/>
      <c r="D373" s="26"/>
      <c r="E373" s="26"/>
      <c r="F373" s="25"/>
      <c r="G373" s="25"/>
      <c r="H373" s="25"/>
      <c r="I373" s="26"/>
      <c r="J373" s="26"/>
      <c r="K373" s="2"/>
      <c r="L373" s="2"/>
      <c r="M373" s="2"/>
      <c r="N373" s="2"/>
      <c r="O373" s="2"/>
      <c r="P373" s="2"/>
      <c r="Q373" s="2"/>
      <c r="R373" s="2"/>
      <c r="S373" s="2"/>
      <c r="T373" s="2"/>
      <c r="U373" s="2"/>
      <c r="V373" s="2"/>
      <c r="W373" s="2"/>
      <c r="X373" s="2"/>
      <c r="Y373" s="2"/>
    </row>
    <row r="374">
      <c r="A374" s="25"/>
      <c r="B374" s="25"/>
      <c r="C374" s="25"/>
      <c r="D374" s="26"/>
      <c r="E374" s="26"/>
      <c r="F374" s="25"/>
      <c r="G374" s="25"/>
      <c r="H374" s="25"/>
      <c r="I374" s="26"/>
      <c r="J374" s="26"/>
      <c r="K374" s="2"/>
      <c r="L374" s="2"/>
      <c r="M374" s="2"/>
      <c r="N374" s="2"/>
      <c r="O374" s="2"/>
      <c r="P374" s="2"/>
      <c r="Q374" s="2"/>
      <c r="R374" s="2"/>
      <c r="S374" s="2"/>
      <c r="T374" s="2"/>
      <c r="U374" s="2"/>
      <c r="V374" s="2"/>
      <c r="W374" s="2"/>
      <c r="X374" s="2"/>
      <c r="Y374" s="2"/>
    </row>
    <row r="375">
      <c r="A375" s="25"/>
      <c r="B375" s="25"/>
      <c r="C375" s="25"/>
      <c r="D375" s="26"/>
      <c r="E375" s="26"/>
      <c r="F375" s="25"/>
      <c r="G375" s="25"/>
      <c r="H375" s="25"/>
      <c r="I375" s="26"/>
      <c r="J375" s="26"/>
      <c r="K375" s="2"/>
      <c r="L375" s="2"/>
      <c r="M375" s="2"/>
      <c r="N375" s="2"/>
      <c r="O375" s="2"/>
      <c r="P375" s="2"/>
      <c r="Q375" s="2"/>
      <c r="R375" s="2"/>
      <c r="S375" s="2"/>
      <c r="T375" s="2"/>
      <c r="U375" s="2"/>
      <c r="V375" s="2"/>
      <c r="W375" s="2"/>
      <c r="X375" s="2"/>
      <c r="Y375" s="2"/>
    </row>
    <row r="376">
      <c r="A376" s="25"/>
      <c r="B376" s="25"/>
      <c r="C376" s="25"/>
      <c r="D376" s="26"/>
      <c r="E376" s="26"/>
      <c r="F376" s="25"/>
      <c r="G376" s="25"/>
      <c r="H376" s="25"/>
      <c r="I376" s="26"/>
      <c r="J376" s="26"/>
      <c r="K376" s="2"/>
      <c r="L376" s="2"/>
      <c r="M376" s="2"/>
      <c r="N376" s="2"/>
      <c r="O376" s="2"/>
      <c r="P376" s="2"/>
      <c r="Q376" s="2"/>
      <c r="R376" s="2"/>
      <c r="S376" s="2"/>
      <c r="T376" s="2"/>
      <c r="U376" s="2"/>
      <c r="V376" s="2"/>
      <c r="W376" s="2"/>
      <c r="X376" s="2"/>
      <c r="Y376" s="2"/>
    </row>
    <row r="377">
      <c r="A377" s="25"/>
      <c r="B377" s="25"/>
      <c r="C377" s="25"/>
      <c r="D377" s="26"/>
      <c r="E377" s="26"/>
      <c r="F377" s="25"/>
      <c r="G377" s="25"/>
      <c r="H377" s="25"/>
      <c r="I377" s="26"/>
      <c r="J377" s="26"/>
      <c r="K377" s="2"/>
      <c r="L377" s="2"/>
      <c r="M377" s="2"/>
      <c r="N377" s="2"/>
      <c r="O377" s="2"/>
      <c r="P377" s="2"/>
      <c r="Q377" s="2"/>
      <c r="R377" s="2"/>
      <c r="S377" s="2"/>
      <c r="T377" s="2"/>
      <c r="U377" s="2"/>
      <c r="V377" s="2"/>
      <c r="W377" s="2"/>
      <c r="X377" s="2"/>
      <c r="Y377" s="2"/>
    </row>
    <row r="378">
      <c r="A378" s="25"/>
      <c r="B378" s="25"/>
      <c r="C378" s="25"/>
      <c r="D378" s="26"/>
      <c r="E378" s="26"/>
      <c r="F378" s="25"/>
      <c r="G378" s="25"/>
      <c r="H378" s="25"/>
      <c r="I378" s="26"/>
      <c r="J378" s="26"/>
      <c r="K378" s="2"/>
      <c r="L378" s="2"/>
      <c r="M378" s="2"/>
      <c r="N378" s="2"/>
      <c r="O378" s="2"/>
      <c r="P378" s="2"/>
      <c r="Q378" s="2"/>
      <c r="R378" s="2"/>
      <c r="S378" s="2"/>
      <c r="T378" s="2"/>
      <c r="U378" s="2"/>
      <c r="V378" s="2"/>
      <c r="W378" s="2"/>
      <c r="X378" s="2"/>
      <c r="Y378" s="2"/>
    </row>
    <row r="379">
      <c r="A379" s="25"/>
      <c r="B379" s="25"/>
      <c r="C379" s="25"/>
      <c r="D379" s="26"/>
      <c r="E379" s="26"/>
      <c r="F379" s="25"/>
      <c r="G379" s="25"/>
      <c r="H379" s="25"/>
      <c r="I379" s="26"/>
      <c r="J379" s="26"/>
      <c r="K379" s="2"/>
      <c r="L379" s="2"/>
      <c r="M379" s="2"/>
      <c r="N379" s="2"/>
      <c r="O379" s="2"/>
      <c r="P379" s="2"/>
      <c r="Q379" s="2"/>
      <c r="R379" s="2"/>
      <c r="S379" s="2"/>
      <c r="T379" s="2"/>
      <c r="U379" s="2"/>
      <c r="V379" s="2"/>
      <c r="W379" s="2"/>
      <c r="X379" s="2"/>
      <c r="Y379" s="2"/>
    </row>
    <row r="380">
      <c r="A380" s="25"/>
      <c r="B380" s="25"/>
      <c r="C380" s="25"/>
      <c r="D380" s="26"/>
      <c r="E380" s="26"/>
      <c r="F380" s="25"/>
      <c r="G380" s="25"/>
      <c r="H380" s="25"/>
      <c r="I380" s="26"/>
      <c r="J380" s="26"/>
      <c r="K380" s="2"/>
      <c r="L380" s="2"/>
      <c r="M380" s="2"/>
      <c r="N380" s="2"/>
      <c r="O380" s="2"/>
      <c r="P380" s="2"/>
      <c r="Q380" s="2"/>
      <c r="R380" s="2"/>
      <c r="S380" s="2"/>
      <c r="T380" s="2"/>
      <c r="U380" s="2"/>
      <c r="V380" s="2"/>
      <c r="W380" s="2"/>
      <c r="X380" s="2"/>
      <c r="Y380" s="2"/>
    </row>
    <row r="381">
      <c r="A381" s="25"/>
      <c r="B381" s="25"/>
      <c r="C381" s="25"/>
      <c r="D381" s="26"/>
      <c r="E381" s="26"/>
      <c r="F381" s="25"/>
      <c r="G381" s="25"/>
      <c r="H381" s="25"/>
      <c r="I381" s="26"/>
      <c r="J381" s="26"/>
      <c r="K381" s="2"/>
      <c r="L381" s="2"/>
      <c r="M381" s="2"/>
      <c r="N381" s="2"/>
      <c r="O381" s="2"/>
      <c r="P381" s="2"/>
      <c r="Q381" s="2"/>
      <c r="R381" s="2"/>
      <c r="S381" s="2"/>
      <c r="T381" s="2"/>
      <c r="U381" s="2"/>
      <c r="V381" s="2"/>
      <c r="W381" s="2"/>
      <c r="X381" s="2"/>
      <c r="Y381" s="2"/>
    </row>
    <row r="382">
      <c r="A382" s="25"/>
      <c r="B382" s="25"/>
      <c r="C382" s="25"/>
      <c r="D382" s="26"/>
      <c r="E382" s="26"/>
      <c r="F382" s="25"/>
      <c r="G382" s="25"/>
      <c r="H382" s="25"/>
      <c r="I382" s="26"/>
      <c r="J382" s="26"/>
      <c r="K382" s="2"/>
      <c r="L382" s="2"/>
      <c r="M382" s="2"/>
      <c r="N382" s="2"/>
      <c r="O382" s="2"/>
      <c r="P382" s="2"/>
      <c r="Q382" s="2"/>
      <c r="R382" s="2"/>
      <c r="S382" s="2"/>
      <c r="T382" s="2"/>
      <c r="U382" s="2"/>
      <c r="V382" s="2"/>
      <c r="W382" s="2"/>
      <c r="X382" s="2"/>
      <c r="Y382" s="2"/>
    </row>
    <row r="383">
      <c r="A383" s="25"/>
      <c r="B383" s="25"/>
      <c r="C383" s="25"/>
      <c r="D383" s="26"/>
      <c r="E383" s="26"/>
      <c r="F383" s="25"/>
      <c r="G383" s="25"/>
      <c r="H383" s="25"/>
      <c r="I383" s="26"/>
      <c r="J383" s="26"/>
      <c r="K383" s="2"/>
      <c r="L383" s="2"/>
      <c r="M383" s="2"/>
      <c r="N383" s="2"/>
      <c r="O383" s="2"/>
      <c r="P383" s="2"/>
      <c r="Q383" s="2"/>
      <c r="R383" s="2"/>
      <c r="S383" s="2"/>
      <c r="T383" s="2"/>
      <c r="U383" s="2"/>
      <c r="V383" s="2"/>
      <c r="W383" s="2"/>
      <c r="X383" s="2"/>
      <c r="Y383" s="2"/>
    </row>
    <row r="384">
      <c r="A384" s="25"/>
      <c r="B384" s="25"/>
      <c r="C384" s="25"/>
      <c r="D384" s="26"/>
      <c r="E384" s="26"/>
      <c r="F384" s="25"/>
      <c r="G384" s="25"/>
      <c r="H384" s="25"/>
      <c r="I384" s="26"/>
      <c r="J384" s="26"/>
      <c r="K384" s="2"/>
      <c r="L384" s="2"/>
      <c r="M384" s="2"/>
      <c r="N384" s="2"/>
      <c r="O384" s="2"/>
      <c r="P384" s="2"/>
      <c r="Q384" s="2"/>
      <c r="R384" s="2"/>
      <c r="S384" s="2"/>
      <c r="T384" s="2"/>
      <c r="U384" s="2"/>
      <c r="V384" s="2"/>
      <c r="W384" s="2"/>
      <c r="X384" s="2"/>
      <c r="Y384" s="2"/>
    </row>
    <row r="385">
      <c r="A385" s="25"/>
      <c r="B385" s="25"/>
      <c r="C385" s="25"/>
      <c r="D385" s="26"/>
      <c r="E385" s="26"/>
      <c r="F385" s="25"/>
      <c r="G385" s="25"/>
      <c r="H385" s="25"/>
      <c r="I385" s="26"/>
      <c r="J385" s="26"/>
      <c r="K385" s="2"/>
      <c r="L385" s="2"/>
      <c r="M385" s="2"/>
      <c r="N385" s="2"/>
      <c r="O385" s="2"/>
      <c r="P385" s="2"/>
      <c r="Q385" s="2"/>
      <c r="R385" s="2"/>
      <c r="S385" s="2"/>
      <c r="T385" s="2"/>
      <c r="U385" s="2"/>
      <c r="V385" s="2"/>
      <c r="W385" s="2"/>
      <c r="X385" s="2"/>
      <c r="Y385" s="2"/>
    </row>
    <row r="386">
      <c r="A386" s="25"/>
      <c r="B386" s="25"/>
      <c r="C386" s="25"/>
      <c r="D386" s="26"/>
      <c r="E386" s="26"/>
      <c r="F386" s="25"/>
      <c r="G386" s="25"/>
      <c r="H386" s="25"/>
      <c r="I386" s="26"/>
      <c r="J386" s="26"/>
      <c r="K386" s="2"/>
      <c r="L386" s="2"/>
      <c r="M386" s="2"/>
      <c r="N386" s="2"/>
      <c r="O386" s="2"/>
      <c r="P386" s="2"/>
      <c r="Q386" s="2"/>
      <c r="R386" s="2"/>
      <c r="S386" s="2"/>
      <c r="T386" s="2"/>
      <c r="U386" s="2"/>
      <c r="V386" s="2"/>
      <c r="W386" s="2"/>
      <c r="X386" s="2"/>
      <c r="Y386" s="2"/>
    </row>
    <row r="387">
      <c r="A387" s="25"/>
      <c r="B387" s="25"/>
      <c r="C387" s="25"/>
      <c r="D387" s="26"/>
      <c r="E387" s="26"/>
      <c r="F387" s="25"/>
      <c r="G387" s="25"/>
      <c r="H387" s="25"/>
      <c r="I387" s="26"/>
      <c r="J387" s="26"/>
      <c r="K387" s="2"/>
      <c r="L387" s="2"/>
      <c r="M387" s="2"/>
      <c r="N387" s="2"/>
      <c r="O387" s="2"/>
      <c r="P387" s="2"/>
      <c r="Q387" s="2"/>
      <c r="R387" s="2"/>
      <c r="S387" s="2"/>
      <c r="T387" s="2"/>
      <c r="U387" s="2"/>
      <c r="V387" s="2"/>
      <c r="W387" s="2"/>
      <c r="X387" s="2"/>
      <c r="Y387" s="2"/>
    </row>
    <row r="388">
      <c r="A388" s="25"/>
      <c r="B388" s="25"/>
      <c r="C388" s="25"/>
      <c r="D388" s="26"/>
      <c r="E388" s="26"/>
      <c r="F388" s="25"/>
      <c r="G388" s="25"/>
      <c r="H388" s="25"/>
      <c r="I388" s="26"/>
      <c r="J388" s="26"/>
      <c r="K388" s="2"/>
      <c r="L388" s="2"/>
      <c r="M388" s="2"/>
      <c r="N388" s="2"/>
      <c r="O388" s="2"/>
      <c r="P388" s="2"/>
      <c r="Q388" s="2"/>
      <c r="R388" s="2"/>
      <c r="S388" s="2"/>
      <c r="T388" s="2"/>
      <c r="U388" s="2"/>
      <c r="V388" s="2"/>
      <c r="W388" s="2"/>
      <c r="X388" s="2"/>
      <c r="Y388" s="2"/>
    </row>
    <row r="389">
      <c r="A389" s="25"/>
      <c r="B389" s="25"/>
      <c r="C389" s="25"/>
      <c r="D389" s="26"/>
      <c r="E389" s="26"/>
      <c r="F389" s="25"/>
      <c r="G389" s="25"/>
      <c r="H389" s="25"/>
      <c r="I389" s="26"/>
      <c r="J389" s="26"/>
      <c r="K389" s="2"/>
      <c r="L389" s="2"/>
      <c r="M389" s="2"/>
      <c r="N389" s="2"/>
      <c r="O389" s="2"/>
      <c r="P389" s="2"/>
      <c r="Q389" s="2"/>
      <c r="R389" s="2"/>
      <c r="S389" s="2"/>
      <c r="T389" s="2"/>
      <c r="U389" s="2"/>
      <c r="V389" s="2"/>
      <c r="W389" s="2"/>
      <c r="X389" s="2"/>
      <c r="Y389" s="2"/>
    </row>
    <row r="390">
      <c r="A390" s="25"/>
      <c r="B390" s="25"/>
      <c r="C390" s="25"/>
      <c r="D390" s="26"/>
      <c r="E390" s="26"/>
      <c r="F390" s="25"/>
      <c r="G390" s="25"/>
      <c r="H390" s="25"/>
      <c r="I390" s="26"/>
      <c r="J390" s="26"/>
      <c r="K390" s="2"/>
      <c r="L390" s="2"/>
      <c r="M390" s="2"/>
      <c r="N390" s="2"/>
      <c r="O390" s="2"/>
      <c r="P390" s="2"/>
      <c r="Q390" s="2"/>
      <c r="R390" s="2"/>
      <c r="S390" s="2"/>
      <c r="T390" s="2"/>
      <c r="U390" s="2"/>
      <c r="V390" s="2"/>
      <c r="W390" s="2"/>
      <c r="X390" s="2"/>
      <c r="Y390" s="2"/>
    </row>
    <row r="391">
      <c r="A391" s="25"/>
      <c r="B391" s="25"/>
      <c r="C391" s="25"/>
      <c r="D391" s="26"/>
      <c r="E391" s="26"/>
      <c r="F391" s="25"/>
      <c r="G391" s="25"/>
      <c r="H391" s="25"/>
      <c r="I391" s="26"/>
      <c r="J391" s="26"/>
      <c r="K391" s="2"/>
      <c r="L391" s="2"/>
      <c r="M391" s="2"/>
      <c r="N391" s="2"/>
      <c r="O391" s="2"/>
      <c r="P391" s="2"/>
      <c r="Q391" s="2"/>
      <c r="R391" s="2"/>
      <c r="S391" s="2"/>
      <c r="T391" s="2"/>
      <c r="U391" s="2"/>
      <c r="V391" s="2"/>
      <c r="W391" s="2"/>
      <c r="X391" s="2"/>
      <c r="Y391" s="2"/>
    </row>
    <row r="392">
      <c r="A392" s="25"/>
      <c r="B392" s="25"/>
      <c r="C392" s="25"/>
      <c r="D392" s="26"/>
      <c r="E392" s="26"/>
      <c r="F392" s="25"/>
      <c r="G392" s="25"/>
      <c r="H392" s="25"/>
      <c r="I392" s="26"/>
      <c r="J392" s="26"/>
      <c r="K392" s="2"/>
      <c r="L392" s="2"/>
      <c r="M392" s="2"/>
      <c r="N392" s="2"/>
      <c r="O392" s="2"/>
      <c r="P392" s="2"/>
      <c r="Q392" s="2"/>
      <c r="R392" s="2"/>
      <c r="S392" s="2"/>
      <c r="T392" s="2"/>
      <c r="U392" s="2"/>
      <c r="V392" s="2"/>
      <c r="W392" s="2"/>
      <c r="X392" s="2"/>
      <c r="Y392" s="2"/>
    </row>
    <row r="393">
      <c r="A393" s="25"/>
      <c r="B393" s="25"/>
      <c r="C393" s="25"/>
      <c r="D393" s="26"/>
      <c r="E393" s="26"/>
      <c r="F393" s="25"/>
      <c r="G393" s="25"/>
      <c r="H393" s="25"/>
      <c r="I393" s="26"/>
      <c r="J393" s="26"/>
      <c r="K393" s="2"/>
      <c r="L393" s="2"/>
      <c r="M393" s="2"/>
      <c r="N393" s="2"/>
      <c r="O393" s="2"/>
      <c r="P393" s="2"/>
      <c r="Q393" s="2"/>
      <c r="R393" s="2"/>
      <c r="S393" s="2"/>
      <c r="T393" s="2"/>
      <c r="U393" s="2"/>
      <c r="V393" s="2"/>
      <c r="W393" s="2"/>
      <c r="X393" s="2"/>
      <c r="Y393" s="2"/>
    </row>
    <row r="394">
      <c r="A394" s="25"/>
      <c r="B394" s="25"/>
      <c r="C394" s="25"/>
      <c r="D394" s="26"/>
      <c r="E394" s="26"/>
      <c r="F394" s="25"/>
      <c r="G394" s="25"/>
      <c r="H394" s="25"/>
      <c r="I394" s="26"/>
      <c r="J394" s="26"/>
      <c r="K394" s="2"/>
      <c r="L394" s="2"/>
      <c r="M394" s="2"/>
      <c r="N394" s="2"/>
      <c r="O394" s="2"/>
      <c r="P394" s="2"/>
      <c r="Q394" s="2"/>
      <c r="R394" s="2"/>
      <c r="S394" s="2"/>
      <c r="T394" s="2"/>
      <c r="U394" s="2"/>
      <c r="V394" s="2"/>
      <c r="W394" s="2"/>
      <c r="X394" s="2"/>
      <c r="Y394" s="2"/>
    </row>
    <row r="395">
      <c r="A395" s="25"/>
      <c r="B395" s="25"/>
      <c r="C395" s="25"/>
      <c r="D395" s="26"/>
      <c r="E395" s="26"/>
      <c r="F395" s="25"/>
      <c r="G395" s="25"/>
      <c r="H395" s="25"/>
      <c r="I395" s="26"/>
      <c r="J395" s="26"/>
      <c r="K395" s="2"/>
      <c r="L395" s="2"/>
      <c r="M395" s="2"/>
      <c r="N395" s="2"/>
      <c r="O395" s="2"/>
      <c r="P395" s="2"/>
      <c r="Q395" s="2"/>
      <c r="R395" s="2"/>
      <c r="S395" s="2"/>
      <c r="T395" s="2"/>
      <c r="U395" s="2"/>
      <c r="V395" s="2"/>
      <c r="W395" s="2"/>
      <c r="X395" s="2"/>
      <c r="Y395" s="2"/>
    </row>
    <row r="396">
      <c r="A396" s="25"/>
      <c r="B396" s="25"/>
      <c r="C396" s="25"/>
      <c r="D396" s="26"/>
      <c r="E396" s="26"/>
      <c r="F396" s="25"/>
      <c r="G396" s="25"/>
      <c r="H396" s="25"/>
      <c r="I396" s="26"/>
      <c r="J396" s="26"/>
      <c r="K396" s="2"/>
      <c r="L396" s="2"/>
      <c r="M396" s="2"/>
      <c r="N396" s="2"/>
      <c r="O396" s="2"/>
      <c r="P396" s="2"/>
      <c r="Q396" s="2"/>
      <c r="R396" s="2"/>
      <c r="S396" s="2"/>
      <c r="T396" s="2"/>
      <c r="U396" s="2"/>
      <c r="V396" s="2"/>
      <c r="W396" s="2"/>
      <c r="X396" s="2"/>
      <c r="Y396" s="2"/>
    </row>
    <row r="397">
      <c r="A397" s="25"/>
      <c r="B397" s="25"/>
      <c r="C397" s="25"/>
      <c r="D397" s="26"/>
      <c r="E397" s="26"/>
      <c r="F397" s="25"/>
      <c r="G397" s="25"/>
      <c r="H397" s="25"/>
      <c r="I397" s="26"/>
      <c r="J397" s="26"/>
      <c r="K397" s="2"/>
      <c r="L397" s="2"/>
      <c r="M397" s="2"/>
      <c r="N397" s="2"/>
      <c r="O397" s="2"/>
      <c r="P397" s="2"/>
      <c r="Q397" s="2"/>
      <c r="R397" s="2"/>
      <c r="S397" s="2"/>
      <c r="T397" s="2"/>
      <c r="U397" s="2"/>
      <c r="V397" s="2"/>
      <c r="W397" s="2"/>
      <c r="X397" s="2"/>
      <c r="Y397" s="2"/>
    </row>
    <row r="398">
      <c r="A398" s="25"/>
      <c r="B398" s="25"/>
      <c r="C398" s="25"/>
      <c r="D398" s="26"/>
      <c r="E398" s="26"/>
      <c r="F398" s="25"/>
      <c r="G398" s="25"/>
      <c r="H398" s="25"/>
      <c r="I398" s="26"/>
      <c r="J398" s="26"/>
      <c r="K398" s="2"/>
      <c r="L398" s="2"/>
      <c r="M398" s="2"/>
      <c r="N398" s="2"/>
      <c r="O398" s="2"/>
      <c r="P398" s="2"/>
      <c r="Q398" s="2"/>
      <c r="R398" s="2"/>
      <c r="S398" s="2"/>
      <c r="T398" s="2"/>
      <c r="U398" s="2"/>
      <c r="V398" s="2"/>
      <c r="W398" s="2"/>
      <c r="X398" s="2"/>
      <c r="Y398" s="2"/>
    </row>
    <row r="399">
      <c r="A399" s="25"/>
      <c r="B399" s="25"/>
      <c r="C399" s="25"/>
      <c r="D399" s="26"/>
      <c r="E399" s="26"/>
      <c r="F399" s="25"/>
      <c r="G399" s="25"/>
      <c r="H399" s="25"/>
      <c r="I399" s="26"/>
      <c r="J399" s="26"/>
      <c r="K399" s="2"/>
      <c r="L399" s="2"/>
      <c r="M399" s="2"/>
      <c r="N399" s="2"/>
      <c r="O399" s="2"/>
      <c r="P399" s="2"/>
      <c r="Q399" s="2"/>
      <c r="R399" s="2"/>
      <c r="S399" s="2"/>
      <c r="T399" s="2"/>
      <c r="U399" s="2"/>
      <c r="V399" s="2"/>
      <c r="W399" s="2"/>
      <c r="X399" s="2"/>
      <c r="Y399" s="2"/>
    </row>
    <row r="400">
      <c r="A400" s="25"/>
      <c r="B400" s="25"/>
      <c r="C400" s="25"/>
      <c r="D400" s="26"/>
      <c r="E400" s="26"/>
      <c r="F400" s="25"/>
      <c r="G400" s="25"/>
      <c r="H400" s="25"/>
      <c r="I400" s="26"/>
      <c r="J400" s="26"/>
      <c r="K400" s="2"/>
      <c r="L400" s="2"/>
      <c r="M400" s="2"/>
      <c r="N400" s="2"/>
      <c r="O400" s="2"/>
      <c r="P400" s="2"/>
      <c r="Q400" s="2"/>
      <c r="R400" s="2"/>
      <c r="S400" s="2"/>
      <c r="T400" s="2"/>
      <c r="U400" s="2"/>
      <c r="V400" s="2"/>
      <c r="W400" s="2"/>
      <c r="X400" s="2"/>
      <c r="Y400" s="2"/>
    </row>
    <row r="401">
      <c r="A401" s="25"/>
      <c r="B401" s="25"/>
      <c r="C401" s="25"/>
      <c r="D401" s="26"/>
      <c r="E401" s="26"/>
      <c r="F401" s="25"/>
      <c r="G401" s="25"/>
      <c r="H401" s="25"/>
      <c r="I401" s="26"/>
      <c r="J401" s="26"/>
      <c r="K401" s="2"/>
      <c r="L401" s="2"/>
      <c r="M401" s="2"/>
      <c r="N401" s="2"/>
      <c r="O401" s="2"/>
      <c r="P401" s="2"/>
      <c r="Q401" s="2"/>
      <c r="R401" s="2"/>
      <c r="S401" s="2"/>
      <c r="T401" s="2"/>
      <c r="U401" s="2"/>
      <c r="V401" s="2"/>
      <c r="W401" s="2"/>
      <c r="X401" s="2"/>
      <c r="Y401" s="2"/>
    </row>
    <row r="402">
      <c r="A402" s="25"/>
      <c r="B402" s="25"/>
      <c r="C402" s="25"/>
      <c r="D402" s="26"/>
      <c r="E402" s="26"/>
      <c r="F402" s="25"/>
      <c r="G402" s="25"/>
      <c r="H402" s="25"/>
      <c r="I402" s="26"/>
      <c r="J402" s="26"/>
      <c r="K402" s="2"/>
      <c r="L402" s="2"/>
      <c r="M402" s="2"/>
      <c r="N402" s="2"/>
      <c r="O402" s="2"/>
      <c r="P402" s="2"/>
      <c r="Q402" s="2"/>
      <c r="R402" s="2"/>
      <c r="S402" s="2"/>
      <c r="T402" s="2"/>
      <c r="U402" s="2"/>
      <c r="V402" s="2"/>
      <c r="W402" s="2"/>
      <c r="X402" s="2"/>
      <c r="Y402" s="2"/>
    </row>
    <row r="403">
      <c r="A403" s="25"/>
      <c r="B403" s="25"/>
      <c r="C403" s="25"/>
      <c r="D403" s="26"/>
      <c r="E403" s="26"/>
      <c r="F403" s="25"/>
      <c r="G403" s="25"/>
      <c r="H403" s="25"/>
      <c r="I403" s="26"/>
      <c r="J403" s="26"/>
      <c r="K403" s="2"/>
      <c r="L403" s="2"/>
      <c r="M403" s="2"/>
      <c r="N403" s="2"/>
      <c r="O403" s="2"/>
      <c r="P403" s="2"/>
      <c r="Q403" s="2"/>
      <c r="R403" s="2"/>
      <c r="S403" s="2"/>
      <c r="T403" s="2"/>
      <c r="U403" s="2"/>
      <c r="V403" s="2"/>
      <c r="W403" s="2"/>
      <c r="X403" s="2"/>
      <c r="Y403" s="2"/>
    </row>
    <row r="404">
      <c r="A404" s="25"/>
      <c r="B404" s="25"/>
      <c r="C404" s="25"/>
      <c r="D404" s="26"/>
      <c r="E404" s="26"/>
      <c r="F404" s="25"/>
      <c r="G404" s="25"/>
      <c r="H404" s="25"/>
      <c r="I404" s="26"/>
      <c r="J404" s="26"/>
      <c r="K404" s="2"/>
      <c r="L404" s="2"/>
      <c r="M404" s="2"/>
      <c r="N404" s="2"/>
      <c r="O404" s="2"/>
      <c r="P404" s="2"/>
      <c r="Q404" s="2"/>
      <c r="R404" s="2"/>
      <c r="S404" s="2"/>
      <c r="T404" s="2"/>
      <c r="U404" s="2"/>
      <c r="V404" s="2"/>
      <c r="W404" s="2"/>
      <c r="X404" s="2"/>
      <c r="Y404" s="2"/>
    </row>
    <row r="405">
      <c r="A405" s="25"/>
      <c r="B405" s="25"/>
      <c r="C405" s="25"/>
      <c r="D405" s="26"/>
      <c r="E405" s="26"/>
      <c r="F405" s="25"/>
      <c r="G405" s="25"/>
      <c r="H405" s="25"/>
      <c r="I405" s="26"/>
      <c r="J405" s="26"/>
      <c r="K405" s="2"/>
      <c r="L405" s="2"/>
      <c r="M405" s="2"/>
      <c r="N405" s="2"/>
      <c r="O405" s="2"/>
      <c r="P405" s="2"/>
      <c r="Q405" s="2"/>
      <c r="R405" s="2"/>
      <c r="S405" s="2"/>
      <c r="T405" s="2"/>
      <c r="U405" s="2"/>
      <c r="V405" s="2"/>
      <c r="W405" s="2"/>
      <c r="X405" s="2"/>
      <c r="Y405" s="2"/>
    </row>
    <row r="406">
      <c r="A406" s="25"/>
      <c r="B406" s="25"/>
      <c r="C406" s="25"/>
      <c r="D406" s="26"/>
      <c r="E406" s="26"/>
      <c r="F406" s="25"/>
      <c r="G406" s="25"/>
      <c r="H406" s="25"/>
      <c r="I406" s="26"/>
      <c r="J406" s="26"/>
      <c r="K406" s="2"/>
      <c r="L406" s="2"/>
      <c r="M406" s="2"/>
      <c r="N406" s="2"/>
      <c r="O406" s="2"/>
      <c r="P406" s="2"/>
      <c r="Q406" s="2"/>
      <c r="R406" s="2"/>
      <c r="S406" s="2"/>
      <c r="T406" s="2"/>
      <c r="U406" s="2"/>
      <c r="V406" s="2"/>
      <c r="W406" s="2"/>
      <c r="X406" s="2"/>
      <c r="Y406" s="2"/>
    </row>
    <row r="407">
      <c r="A407" s="25"/>
      <c r="B407" s="25"/>
      <c r="C407" s="25"/>
      <c r="D407" s="26"/>
      <c r="E407" s="26"/>
      <c r="F407" s="25"/>
      <c r="G407" s="25"/>
      <c r="H407" s="25"/>
      <c r="I407" s="26"/>
      <c r="J407" s="26"/>
      <c r="K407" s="2"/>
      <c r="L407" s="2"/>
      <c r="M407" s="2"/>
      <c r="N407" s="2"/>
      <c r="O407" s="2"/>
      <c r="P407" s="2"/>
      <c r="Q407" s="2"/>
      <c r="R407" s="2"/>
      <c r="S407" s="2"/>
      <c r="T407" s="2"/>
      <c r="U407" s="2"/>
      <c r="V407" s="2"/>
      <c r="W407" s="2"/>
      <c r="X407" s="2"/>
      <c r="Y407" s="2"/>
    </row>
    <row r="408">
      <c r="A408" s="25"/>
      <c r="B408" s="25"/>
      <c r="C408" s="25"/>
      <c r="D408" s="26"/>
      <c r="E408" s="26"/>
      <c r="F408" s="25"/>
      <c r="G408" s="25"/>
      <c r="H408" s="25"/>
      <c r="I408" s="26"/>
      <c r="J408" s="26"/>
      <c r="K408" s="2"/>
      <c r="L408" s="2"/>
      <c r="M408" s="2"/>
      <c r="N408" s="2"/>
      <c r="O408" s="2"/>
      <c r="P408" s="2"/>
      <c r="Q408" s="2"/>
      <c r="R408" s="2"/>
      <c r="S408" s="2"/>
      <c r="T408" s="2"/>
      <c r="U408" s="2"/>
      <c r="V408" s="2"/>
      <c r="W408" s="2"/>
      <c r="X408" s="2"/>
      <c r="Y408" s="2"/>
    </row>
    <row r="409">
      <c r="A409" s="25"/>
      <c r="B409" s="25"/>
      <c r="C409" s="25"/>
      <c r="D409" s="26"/>
      <c r="E409" s="26"/>
      <c r="F409" s="25"/>
      <c r="G409" s="25"/>
      <c r="H409" s="25"/>
      <c r="I409" s="26"/>
      <c r="J409" s="26"/>
      <c r="K409" s="2"/>
      <c r="L409" s="2"/>
      <c r="M409" s="2"/>
      <c r="N409" s="2"/>
      <c r="O409" s="2"/>
      <c r="P409" s="2"/>
      <c r="Q409" s="2"/>
      <c r="R409" s="2"/>
      <c r="S409" s="2"/>
      <c r="T409" s="2"/>
      <c r="U409" s="2"/>
      <c r="V409" s="2"/>
      <c r="W409" s="2"/>
      <c r="X409" s="2"/>
      <c r="Y409" s="2"/>
    </row>
    <row r="410">
      <c r="A410" s="25"/>
      <c r="B410" s="25"/>
      <c r="C410" s="25"/>
      <c r="D410" s="26"/>
      <c r="E410" s="26"/>
      <c r="F410" s="25"/>
      <c r="G410" s="25"/>
      <c r="H410" s="25"/>
      <c r="I410" s="26"/>
      <c r="J410" s="26"/>
      <c r="K410" s="2"/>
      <c r="L410" s="2"/>
      <c r="M410" s="2"/>
      <c r="N410" s="2"/>
      <c r="O410" s="2"/>
      <c r="P410" s="2"/>
      <c r="Q410" s="2"/>
      <c r="R410" s="2"/>
      <c r="S410" s="2"/>
      <c r="T410" s="2"/>
      <c r="U410" s="2"/>
      <c r="V410" s="2"/>
      <c r="W410" s="2"/>
      <c r="X410" s="2"/>
      <c r="Y410" s="2"/>
    </row>
    <row r="411">
      <c r="A411" s="25"/>
      <c r="B411" s="25"/>
      <c r="C411" s="25"/>
      <c r="D411" s="26"/>
      <c r="E411" s="26"/>
      <c r="F411" s="25"/>
      <c r="G411" s="25"/>
      <c r="H411" s="25"/>
      <c r="I411" s="26"/>
      <c r="J411" s="26"/>
      <c r="K411" s="2"/>
      <c r="L411" s="2"/>
      <c r="M411" s="2"/>
      <c r="N411" s="2"/>
      <c r="O411" s="2"/>
      <c r="P411" s="2"/>
      <c r="Q411" s="2"/>
      <c r="R411" s="2"/>
      <c r="S411" s="2"/>
      <c r="T411" s="2"/>
      <c r="U411" s="2"/>
      <c r="V411" s="2"/>
      <c r="W411" s="2"/>
      <c r="X411" s="2"/>
      <c r="Y411" s="2"/>
    </row>
    <row r="412">
      <c r="A412" s="25"/>
      <c r="B412" s="25"/>
      <c r="C412" s="25"/>
      <c r="D412" s="26"/>
      <c r="E412" s="26"/>
      <c r="F412" s="25"/>
      <c r="G412" s="25"/>
      <c r="H412" s="25"/>
      <c r="I412" s="26"/>
      <c r="J412" s="26"/>
      <c r="K412" s="2"/>
      <c r="L412" s="2"/>
      <c r="M412" s="2"/>
      <c r="N412" s="2"/>
      <c r="O412" s="2"/>
      <c r="P412" s="2"/>
      <c r="Q412" s="2"/>
      <c r="R412" s="2"/>
      <c r="S412" s="2"/>
      <c r="T412" s="2"/>
      <c r="U412" s="2"/>
      <c r="V412" s="2"/>
      <c r="W412" s="2"/>
      <c r="X412" s="2"/>
      <c r="Y412" s="2"/>
    </row>
    <row r="413">
      <c r="A413" s="25"/>
      <c r="B413" s="25"/>
      <c r="C413" s="25"/>
      <c r="D413" s="26"/>
      <c r="E413" s="26"/>
      <c r="F413" s="25"/>
      <c r="G413" s="25"/>
      <c r="H413" s="25"/>
      <c r="I413" s="26"/>
      <c r="J413" s="26"/>
      <c r="K413" s="2"/>
      <c r="L413" s="2"/>
      <c r="M413" s="2"/>
      <c r="N413" s="2"/>
      <c r="O413" s="2"/>
      <c r="P413" s="2"/>
      <c r="Q413" s="2"/>
      <c r="R413" s="2"/>
      <c r="S413" s="2"/>
      <c r="T413" s="2"/>
      <c r="U413" s="2"/>
      <c r="V413" s="2"/>
      <c r="W413" s="2"/>
      <c r="X413" s="2"/>
      <c r="Y413" s="2"/>
    </row>
    <row r="414">
      <c r="A414" s="25"/>
      <c r="B414" s="25"/>
      <c r="C414" s="25"/>
      <c r="D414" s="26"/>
      <c r="E414" s="26"/>
      <c r="F414" s="25"/>
      <c r="G414" s="25"/>
      <c r="H414" s="25"/>
      <c r="I414" s="26"/>
      <c r="J414" s="26"/>
      <c r="K414" s="2"/>
      <c r="L414" s="2"/>
      <c r="M414" s="2"/>
      <c r="N414" s="2"/>
      <c r="O414" s="2"/>
      <c r="P414" s="2"/>
      <c r="Q414" s="2"/>
      <c r="R414" s="2"/>
      <c r="S414" s="2"/>
      <c r="T414" s="2"/>
      <c r="U414" s="2"/>
      <c r="V414" s="2"/>
      <c r="W414" s="2"/>
      <c r="X414" s="2"/>
      <c r="Y414" s="2"/>
    </row>
    <row r="415">
      <c r="A415" s="25"/>
      <c r="B415" s="25"/>
      <c r="C415" s="25"/>
      <c r="D415" s="26"/>
      <c r="E415" s="26"/>
      <c r="F415" s="25"/>
      <c r="G415" s="25"/>
      <c r="H415" s="25"/>
      <c r="I415" s="26"/>
      <c r="J415" s="26"/>
      <c r="K415" s="2"/>
      <c r="L415" s="2"/>
      <c r="M415" s="2"/>
      <c r="N415" s="2"/>
      <c r="O415" s="2"/>
      <c r="P415" s="2"/>
      <c r="Q415" s="2"/>
      <c r="R415" s="2"/>
      <c r="S415" s="2"/>
      <c r="T415" s="2"/>
      <c r="U415" s="2"/>
      <c r="V415" s="2"/>
      <c r="W415" s="2"/>
      <c r="X415" s="2"/>
      <c r="Y415" s="2"/>
    </row>
    <row r="416">
      <c r="A416" s="25"/>
      <c r="B416" s="25"/>
      <c r="C416" s="25"/>
      <c r="D416" s="26"/>
      <c r="E416" s="26"/>
      <c r="F416" s="25"/>
      <c r="G416" s="25"/>
      <c r="H416" s="25"/>
      <c r="I416" s="26"/>
      <c r="J416" s="26"/>
      <c r="K416" s="2"/>
      <c r="L416" s="2"/>
      <c r="M416" s="2"/>
      <c r="N416" s="2"/>
      <c r="O416" s="2"/>
      <c r="P416" s="2"/>
      <c r="Q416" s="2"/>
      <c r="R416" s="2"/>
      <c r="S416" s="2"/>
      <c r="T416" s="2"/>
      <c r="U416" s="2"/>
      <c r="V416" s="2"/>
      <c r="W416" s="2"/>
      <c r="X416" s="2"/>
      <c r="Y416" s="2"/>
    </row>
    <row r="417">
      <c r="A417" s="25"/>
      <c r="B417" s="25"/>
      <c r="C417" s="25"/>
      <c r="D417" s="26"/>
      <c r="E417" s="26"/>
      <c r="F417" s="25"/>
      <c r="G417" s="25"/>
      <c r="H417" s="25"/>
      <c r="I417" s="26"/>
      <c r="J417" s="26"/>
      <c r="K417" s="2"/>
      <c r="L417" s="2"/>
      <c r="M417" s="2"/>
      <c r="N417" s="2"/>
      <c r="O417" s="2"/>
      <c r="P417" s="2"/>
      <c r="Q417" s="2"/>
      <c r="R417" s="2"/>
      <c r="S417" s="2"/>
      <c r="T417" s="2"/>
      <c r="U417" s="2"/>
      <c r="V417" s="2"/>
      <c r="W417" s="2"/>
      <c r="X417" s="2"/>
      <c r="Y417" s="2"/>
    </row>
    <row r="418">
      <c r="A418" s="25"/>
      <c r="B418" s="25"/>
      <c r="C418" s="25"/>
      <c r="D418" s="26"/>
      <c r="E418" s="26"/>
      <c r="F418" s="25"/>
      <c r="G418" s="25"/>
      <c r="H418" s="25"/>
      <c r="I418" s="26"/>
      <c r="J418" s="26"/>
      <c r="K418" s="2"/>
      <c r="L418" s="2"/>
      <c r="M418" s="2"/>
      <c r="N418" s="2"/>
      <c r="O418" s="2"/>
      <c r="P418" s="2"/>
      <c r="Q418" s="2"/>
      <c r="R418" s="2"/>
      <c r="S418" s="2"/>
      <c r="T418" s="2"/>
      <c r="U418" s="2"/>
      <c r="V418" s="2"/>
      <c r="W418" s="2"/>
      <c r="X418" s="2"/>
      <c r="Y418" s="2"/>
    </row>
    <row r="419">
      <c r="A419" s="25"/>
      <c r="B419" s="25"/>
      <c r="C419" s="25"/>
      <c r="D419" s="26"/>
      <c r="E419" s="26"/>
      <c r="F419" s="25"/>
      <c r="G419" s="25"/>
      <c r="H419" s="25"/>
      <c r="I419" s="26"/>
      <c r="J419" s="26"/>
      <c r="K419" s="2"/>
      <c r="L419" s="2"/>
      <c r="M419" s="2"/>
      <c r="N419" s="2"/>
      <c r="O419" s="2"/>
      <c r="P419" s="2"/>
      <c r="Q419" s="2"/>
      <c r="R419" s="2"/>
      <c r="S419" s="2"/>
      <c r="T419" s="2"/>
      <c r="U419" s="2"/>
      <c r="V419" s="2"/>
      <c r="W419" s="2"/>
      <c r="X419" s="2"/>
      <c r="Y419" s="2"/>
    </row>
    <row r="420">
      <c r="A420" s="25"/>
      <c r="B420" s="25"/>
      <c r="C420" s="25"/>
      <c r="D420" s="26"/>
      <c r="E420" s="26"/>
      <c r="F420" s="25"/>
      <c r="G420" s="25"/>
      <c r="H420" s="25"/>
      <c r="I420" s="26"/>
      <c r="J420" s="26"/>
      <c r="K420" s="2"/>
      <c r="L420" s="2"/>
      <c r="M420" s="2"/>
      <c r="N420" s="2"/>
      <c r="O420" s="2"/>
      <c r="P420" s="2"/>
      <c r="Q420" s="2"/>
      <c r="R420" s="2"/>
      <c r="S420" s="2"/>
      <c r="T420" s="2"/>
      <c r="U420" s="2"/>
      <c r="V420" s="2"/>
      <c r="W420" s="2"/>
      <c r="X420" s="2"/>
      <c r="Y420" s="2"/>
    </row>
    <row r="421">
      <c r="A421" s="25"/>
      <c r="B421" s="25"/>
      <c r="C421" s="25"/>
      <c r="D421" s="26"/>
      <c r="E421" s="26"/>
      <c r="F421" s="25"/>
      <c r="G421" s="25"/>
      <c r="H421" s="25"/>
      <c r="I421" s="26"/>
      <c r="J421" s="26"/>
      <c r="K421" s="2"/>
      <c r="L421" s="2"/>
      <c r="M421" s="2"/>
      <c r="N421" s="2"/>
      <c r="O421" s="2"/>
      <c r="P421" s="2"/>
      <c r="Q421" s="2"/>
      <c r="R421" s="2"/>
      <c r="S421" s="2"/>
      <c r="T421" s="2"/>
      <c r="U421" s="2"/>
      <c r="V421" s="2"/>
      <c r="W421" s="2"/>
      <c r="X421" s="2"/>
      <c r="Y421" s="2"/>
    </row>
    <row r="422">
      <c r="A422" s="25"/>
      <c r="B422" s="25"/>
      <c r="C422" s="25"/>
      <c r="D422" s="26"/>
      <c r="E422" s="26"/>
      <c r="F422" s="25"/>
      <c r="G422" s="25"/>
      <c r="H422" s="25"/>
      <c r="I422" s="26"/>
      <c r="J422" s="26"/>
      <c r="K422" s="2"/>
      <c r="L422" s="2"/>
      <c r="M422" s="2"/>
      <c r="N422" s="2"/>
      <c r="O422" s="2"/>
      <c r="P422" s="2"/>
      <c r="Q422" s="2"/>
      <c r="R422" s="2"/>
      <c r="S422" s="2"/>
      <c r="T422" s="2"/>
      <c r="U422" s="2"/>
      <c r="V422" s="2"/>
      <c r="W422" s="2"/>
      <c r="X422" s="2"/>
      <c r="Y422" s="2"/>
    </row>
    <row r="423">
      <c r="A423" s="25"/>
      <c r="B423" s="25"/>
      <c r="C423" s="25"/>
      <c r="D423" s="26"/>
      <c r="E423" s="26"/>
      <c r="F423" s="25"/>
      <c r="G423" s="25"/>
      <c r="H423" s="25"/>
      <c r="I423" s="26"/>
      <c r="J423" s="26"/>
      <c r="K423" s="2"/>
      <c r="L423" s="2"/>
      <c r="M423" s="2"/>
      <c r="N423" s="2"/>
      <c r="O423" s="2"/>
      <c r="P423" s="2"/>
      <c r="Q423" s="2"/>
      <c r="R423" s="2"/>
      <c r="S423" s="2"/>
      <c r="T423" s="2"/>
      <c r="U423" s="2"/>
      <c r="V423" s="2"/>
      <c r="W423" s="2"/>
      <c r="X423" s="2"/>
      <c r="Y423" s="2"/>
    </row>
    <row r="424">
      <c r="A424" s="25"/>
      <c r="B424" s="25"/>
      <c r="C424" s="25"/>
      <c r="D424" s="26"/>
      <c r="E424" s="26"/>
      <c r="F424" s="25"/>
      <c r="G424" s="25"/>
      <c r="H424" s="25"/>
      <c r="I424" s="26"/>
      <c r="J424" s="26"/>
      <c r="K424" s="2"/>
      <c r="L424" s="2"/>
      <c r="M424" s="2"/>
      <c r="N424" s="2"/>
      <c r="O424" s="2"/>
      <c r="P424" s="2"/>
      <c r="Q424" s="2"/>
      <c r="R424" s="2"/>
      <c r="S424" s="2"/>
      <c r="T424" s="2"/>
      <c r="U424" s="2"/>
      <c r="V424" s="2"/>
      <c r="W424" s="2"/>
      <c r="X424" s="2"/>
      <c r="Y424" s="2"/>
    </row>
    <row r="425">
      <c r="A425" s="25"/>
      <c r="B425" s="25"/>
      <c r="C425" s="25"/>
      <c r="D425" s="26"/>
      <c r="E425" s="26"/>
      <c r="F425" s="25"/>
      <c r="G425" s="25"/>
      <c r="H425" s="25"/>
      <c r="I425" s="26"/>
      <c r="J425" s="26"/>
      <c r="K425" s="2"/>
      <c r="L425" s="2"/>
      <c r="M425" s="2"/>
      <c r="N425" s="2"/>
      <c r="O425" s="2"/>
      <c r="P425" s="2"/>
      <c r="Q425" s="2"/>
      <c r="R425" s="2"/>
      <c r="S425" s="2"/>
      <c r="T425" s="2"/>
      <c r="U425" s="2"/>
      <c r="V425" s="2"/>
      <c r="W425" s="2"/>
      <c r="X425" s="2"/>
      <c r="Y425" s="2"/>
    </row>
    <row r="426">
      <c r="A426" s="25"/>
      <c r="B426" s="25"/>
      <c r="C426" s="25"/>
      <c r="D426" s="26"/>
      <c r="E426" s="26"/>
      <c r="F426" s="25"/>
      <c r="G426" s="25"/>
      <c r="H426" s="25"/>
      <c r="I426" s="26"/>
      <c r="J426" s="26"/>
      <c r="K426" s="2"/>
      <c r="L426" s="2"/>
      <c r="M426" s="2"/>
      <c r="N426" s="2"/>
      <c r="O426" s="2"/>
      <c r="P426" s="2"/>
      <c r="Q426" s="2"/>
      <c r="R426" s="2"/>
      <c r="S426" s="2"/>
      <c r="T426" s="2"/>
      <c r="U426" s="2"/>
      <c r="V426" s="2"/>
      <c r="W426" s="2"/>
      <c r="X426" s="2"/>
      <c r="Y426" s="2"/>
    </row>
    <row r="427">
      <c r="A427" s="25"/>
      <c r="B427" s="25"/>
      <c r="C427" s="25"/>
      <c r="D427" s="26"/>
      <c r="E427" s="26"/>
      <c r="F427" s="25"/>
      <c r="G427" s="25"/>
      <c r="H427" s="25"/>
      <c r="I427" s="26"/>
      <c r="J427" s="26"/>
      <c r="K427" s="2"/>
      <c r="L427" s="2"/>
      <c r="M427" s="2"/>
      <c r="N427" s="2"/>
      <c r="O427" s="2"/>
      <c r="P427" s="2"/>
      <c r="Q427" s="2"/>
      <c r="R427" s="2"/>
      <c r="S427" s="2"/>
      <c r="T427" s="2"/>
      <c r="U427" s="2"/>
      <c r="V427" s="2"/>
      <c r="W427" s="2"/>
      <c r="X427" s="2"/>
      <c r="Y427" s="2"/>
    </row>
    <row r="428">
      <c r="A428" s="25"/>
      <c r="B428" s="25"/>
      <c r="C428" s="25"/>
      <c r="D428" s="26"/>
      <c r="E428" s="26"/>
      <c r="F428" s="25"/>
      <c r="G428" s="25"/>
      <c r="H428" s="25"/>
      <c r="I428" s="26"/>
      <c r="J428" s="26"/>
      <c r="K428" s="2"/>
      <c r="L428" s="2"/>
      <c r="M428" s="2"/>
      <c r="N428" s="2"/>
      <c r="O428" s="2"/>
      <c r="P428" s="2"/>
      <c r="Q428" s="2"/>
      <c r="R428" s="2"/>
      <c r="S428" s="2"/>
      <c r="T428" s="2"/>
      <c r="U428" s="2"/>
      <c r="V428" s="2"/>
      <c r="W428" s="2"/>
      <c r="X428" s="2"/>
      <c r="Y428" s="2"/>
    </row>
    <row r="429">
      <c r="A429" s="25"/>
      <c r="B429" s="25"/>
      <c r="C429" s="25"/>
      <c r="D429" s="26"/>
      <c r="E429" s="26"/>
      <c r="F429" s="25"/>
      <c r="G429" s="25"/>
      <c r="H429" s="25"/>
      <c r="I429" s="26"/>
      <c r="J429" s="26"/>
      <c r="K429" s="2"/>
      <c r="L429" s="2"/>
      <c r="M429" s="2"/>
      <c r="N429" s="2"/>
      <c r="O429" s="2"/>
      <c r="P429" s="2"/>
      <c r="Q429" s="2"/>
      <c r="R429" s="2"/>
      <c r="S429" s="2"/>
      <c r="T429" s="2"/>
      <c r="U429" s="2"/>
      <c r="V429" s="2"/>
      <c r="W429" s="2"/>
      <c r="X429" s="2"/>
      <c r="Y429" s="2"/>
    </row>
    <row r="430">
      <c r="A430" s="25"/>
      <c r="B430" s="25"/>
      <c r="C430" s="25"/>
      <c r="D430" s="26"/>
      <c r="E430" s="26"/>
      <c r="F430" s="25"/>
      <c r="G430" s="25"/>
      <c r="H430" s="25"/>
      <c r="I430" s="26"/>
      <c r="J430" s="26"/>
      <c r="K430" s="2"/>
      <c r="L430" s="2"/>
      <c r="M430" s="2"/>
      <c r="N430" s="2"/>
      <c r="O430" s="2"/>
      <c r="P430" s="2"/>
      <c r="Q430" s="2"/>
      <c r="R430" s="2"/>
      <c r="S430" s="2"/>
      <c r="T430" s="2"/>
      <c r="U430" s="2"/>
      <c r="V430" s="2"/>
      <c r="W430" s="2"/>
      <c r="X430" s="2"/>
      <c r="Y430" s="2"/>
    </row>
    <row r="431">
      <c r="A431" s="25"/>
      <c r="B431" s="25"/>
      <c r="C431" s="25"/>
      <c r="D431" s="26"/>
      <c r="E431" s="26"/>
      <c r="F431" s="25"/>
      <c r="G431" s="25"/>
      <c r="H431" s="25"/>
      <c r="I431" s="26"/>
      <c r="J431" s="26"/>
      <c r="K431" s="2"/>
      <c r="L431" s="2"/>
      <c r="M431" s="2"/>
      <c r="N431" s="2"/>
      <c r="O431" s="2"/>
      <c r="P431" s="2"/>
      <c r="Q431" s="2"/>
      <c r="R431" s="2"/>
      <c r="S431" s="2"/>
      <c r="T431" s="2"/>
      <c r="U431" s="2"/>
      <c r="V431" s="2"/>
      <c r="W431" s="2"/>
      <c r="X431" s="2"/>
      <c r="Y431" s="2"/>
    </row>
    <row r="432">
      <c r="A432" s="25"/>
      <c r="B432" s="25"/>
      <c r="C432" s="25"/>
      <c r="D432" s="26"/>
      <c r="E432" s="26"/>
      <c r="F432" s="25"/>
      <c r="G432" s="25"/>
      <c r="H432" s="25"/>
      <c r="I432" s="26"/>
      <c r="J432" s="26"/>
      <c r="K432" s="2"/>
      <c r="L432" s="2"/>
      <c r="M432" s="2"/>
      <c r="N432" s="2"/>
      <c r="O432" s="2"/>
      <c r="P432" s="2"/>
      <c r="Q432" s="2"/>
      <c r="R432" s="2"/>
      <c r="S432" s="2"/>
      <c r="T432" s="2"/>
      <c r="U432" s="2"/>
      <c r="V432" s="2"/>
      <c r="W432" s="2"/>
      <c r="X432" s="2"/>
      <c r="Y432" s="2"/>
    </row>
    <row r="433">
      <c r="A433" s="25"/>
      <c r="B433" s="25"/>
      <c r="C433" s="25"/>
      <c r="D433" s="26"/>
      <c r="E433" s="26"/>
      <c r="F433" s="25"/>
      <c r="G433" s="25"/>
      <c r="H433" s="25"/>
      <c r="I433" s="26"/>
      <c r="J433" s="26"/>
      <c r="K433" s="2"/>
      <c r="L433" s="2"/>
      <c r="M433" s="2"/>
      <c r="N433" s="2"/>
      <c r="O433" s="2"/>
      <c r="P433" s="2"/>
      <c r="Q433" s="2"/>
      <c r="R433" s="2"/>
      <c r="S433" s="2"/>
      <c r="T433" s="2"/>
      <c r="U433" s="2"/>
      <c r="V433" s="2"/>
      <c r="W433" s="2"/>
      <c r="X433" s="2"/>
      <c r="Y433" s="2"/>
    </row>
    <row r="434">
      <c r="A434" s="25"/>
      <c r="B434" s="25"/>
      <c r="C434" s="25"/>
      <c r="D434" s="26"/>
      <c r="E434" s="26"/>
      <c r="F434" s="25"/>
      <c r="G434" s="25"/>
      <c r="H434" s="25"/>
      <c r="I434" s="26"/>
      <c r="J434" s="26"/>
      <c r="K434" s="2"/>
      <c r="L434" s="2"/>
      <c r="M434" s="2"/>
      <c r="N434" s="2"/>
      <c r="O434" s="2"/>
      <c r="P434" s="2"/>
      <c r="Q434" s="2"/>
      <c r="R434" s="2"/>
      <c r="S434" s="2"/>
      <c r="T434" s="2"/>
      <c r="U434" s="2"/>
      <c r="V434" s="2"/>
      <c r="W434" s="2"/>
      <c r="X434" s="2"/>
      <c r="Y434" s="2"/>
    </row>
    <row r="435">
      <c r="A435" s="25"/>
      <c r="B435" s="25"/>
      <c r="C435" s="25"/>
      <c r="D435" s="26"/>
      <c r="E435" s="26"/>
      <c r="F435" s="25"/>
      <c r="G435" s="25"/>
      <c r="H435" s="25"/>
      <c r="I435" s="26"/>
      <c r="J435" s="26"/>
      <c r="K435" s="2"/>
      <c r="L435" s="2"/>
      <c r="M435" s="2"/>
      <c r="N435" s="2"/>
      <c r="O435" s="2"/>
      <c r="P435" s="2"/>
      <c r="Q435" s="2"/>
      <c r="R435" s="2"/>
      <c r="S435" s="2"/>
      <c r="T435" s="2"/>
      <c r="U435" s="2"/>
      <c r="V435" s="2"/>
      <c r="W435" s="2"/>
      <c r="X435" s="2"/>
      <c r="Y435" s="2"/>
    </row>
    <row r="436">
      <c r="A436" s="25"/>
      <c r="B436" s="25"/>
      <c r="C436" s="25"/>
      <c r="D436" s="26"/>
      <c r="E436" s="26"/>
      <c r="F436" s="25"/>
      <c r="G436" s="25"/>
      <c r="H436" s="25"/>
      <c r="I436" s="26"/>
      <c r="J436" s="26"/>
      <c r="K436" s="2"/>
      <c r="L436" s="2"/>
      <c r="M436" s="2"/>
      <c r="N436" s="2"/>
      <c r="O436" s="2"/>
      <c r="P436" s="2"/>
      <c r="Q436" s="2"/>
      <c r="R436" s="2"/>
      <c r="S436" s="2"/>
      <c r="T436" s="2"/>
      <c r="U436" s="2"/>
      <c r="V436" s="2"/>
      <c r="W436" s="2"/>
      <c r="X436" s="2"/>
      <c r="Y436" s="2"/>
    </row>
    <row r="437">
      <c r="A437" s="25"/>
      <c r="B437" s="25"/>
      <c r="C437" s="25"/>
      <c r="D437" s="26"/>
      <c r="E437" s="26"/>
      <c r="F437" s="25"/>
      <c r="G437" s="25"/>
      <c r="H437" s="25"/>
      <c r="I437" s="26"/>
      <c r="J437" s="26"/>
      <c r="K437" s="2"/>
      <c r="L437" s="2"/>
      <c r="M437" s="2"/>
      <c r="N437" s="2"/>
      <c r="O437" s="2"/>
      <c r="P437" s="2"/>
      <c r="Q437" s="2"/>
      <c r="R437" s="2"/>
      <c r="S437" s="2"/>
      <c r="T437" s="2"/>
      <c r="U437" s="2"/>
      <c r="V437" s="2"/>
      <c r="W437" s="2"/>
      <c r="X437" s="2"/>
      <c r="Y437" s="2"/>
    </row>
    <row r="438">
      <c r="A438" s="25"/>
      <c r="B438" s="25"/>
      <c r="C438" s="25"/>
      <c r="D438" s="26"/>
      <c r="E438" s="26"/>
      <c r="F438" s="25"/>
      <c r="G438" s="25"/>
      <c r="H438" s="25"/>
      <c r="I438" s="26"/>
      <c r="J438" s="26"/>
      <c r="K438" s="2"/>
      <c r="L438" s="2"/>
      <c r="M438" s="2"/>
      <c r="N438" s="2"/>
      <c r="O438" s="2"/>
      <c r="P438" s="2"/>
      <c r="Q438" s="2"/>
      <c r="R438" s="2"/>
      <c r="S438" s="2"/>
      <c r="T438" s="2"/>
      <c r="U438" s="2"/>
      <c r="V438" s="2"/>
      <c r="W438" s="2"/>
      <c r="X438" s="2"/>
      <c r="Y438" s="2"/>
    </row>
    <row r="439">
      <c r="A439" s="25"/>
      <c r="B439" s="25"/>
      <c r="C439" s="25"/>
      <c r="D439" s="26"/>
      <c r="E439" s="26"/>
      <c r="F439" s="25"/>
      <c r="G439" s="25"/>
      <c r="H439" s="25"/>
      <c r="I439" s="26"/>
      <c r="J439" s="26"/>
      <c r="K439" s="2"/>
      <c r="L439" s="2"/>
      <c r="M439" s="2"/>
      <c r="N439" s="2"/>
      <c r="O439" s="2"/>
      <c r="P439" s="2"/>
      <c r="Q439" s="2"/>
      <c r="R439" s="2"/>
      <c r="S439" s="2"/>
      <c r="T439" s="2"/>
      <c r="U439" s="2"/>
      <c r="V439" s="2"/>
      <c r="W439" s="2"/>
      <c r="X439" s="2"/>
      <c r="Y439" s="2"/>
    </row>
    <row r="440">
      <c r="A440" s="25"/>
      <c r="B440" s="25"/>
      <c r="C440" s="25"/>
      <c r="D440" s="26"/>
      <c r="E440" s="26"/>
      <c r="F440" s="25"/>
      <c r="G440" s="25"/>
      <c r="H440" s="25"/>
      <c r="I440" s="26"/>
      <c r="J440" s="26"/>
      <c r="K440" s="2"/>
      <c r="L440" s="2"/>
      <c r="M440" s="2"/>
      <c r="N440" s="2"/>
      <c r="O440" s="2"/>
      <c r="P440" s="2"/>
      <c r="Q440" s="2"/>
      <c r="R440" s="2"/>
      <c r="S440" s="2"/>
      <c r="T440" s="2"/>
      <c r="U440" s="2"/>
      <c r="V440" s="2"/>
      <c r="W440" s="2"/>
      <c r="X440" s="2"/>
      <c r="Y440" s="2"/>
    </row>
    <row r="441">
      <c r="A441" s="25"/>
      <c r="B441" s="25"/>
      <c r="C441" s="25"/>
      <c r="D441" s="26"/>
      <c r="E441" s="26"/>
      <c r="F441" s="25"/>
      <c r="G441" s="25"/>
      <c r="H441" s="25"/>
      <c r="I441" s="26"/>
      <c r="J441" s="26"/>
      <c r="K441" s="2"/>
      <c r="L441" s="2"/>
      <c r="M441" s="2"/>
      <c r="N441" s="2"/>
      <c r="O441" s="2"/>
      <c r="P441" s="2"/>
      <c r="Q441" s="2"/>
      <c r="R441" s="2"/>
      <c r="S441" s="2"/>
      <c r="T441" s="2"/>
      <c r="U441" s="2"/>
      <c r="V441" s="2"/>
      <c r="W441" s="2"/>
      <c r="X441" s="2"/>
      <c r="Y441" s="2"/>
    </row>
    <row r="442">
      <c r="A442" s="25"/>
      <c r="B442" s="25"/>
      <c r="C442" s="25"/>
      <c r="D442" s="26"/>
      <c r="E442" s="26"/>
      <c r="F442" s="25"/>
      <c r="G442" s="25"/>
      <c r="H442" s="25"/>
      <c r="I442" s="26"/>
      <c r="J442" s="26"/>
      <c r="K442" s="2"/>
      <c r="L442" s="2"/>
      <c r="M442" s="2"/>
      <c r="N442" s="2"/>
      <c r="O442" s="2"/>
      <c r="P442" s="2"/>
      <c r="Q442" s="2"/>
      <c r="R442" s="2"/>
      <c r="S442" s="2"/>
      <c r="T442" s="2"/>
      <c r="U442" s="2"/>
      <c r="V442" s="2"/>
      <c r="W442" s="2"/>
      <c r="X442" s="2"/>
      <c r="Y442" s="2"/>
    </row>
    <row r="443">
      <c r="A443" s="25"/>
      <c r="B443" s="25"/>
      <c r="C443" s="25"/>
      <c r="D443" s="26"/>
      <c r="E443" s="26"/>
      <c r="F443" s="25"/>
      <c r="G443" s="25"/>
      <c r="H443" s="25"/>
      <c r="I443" s="26"/>
      <c r="J443" s="26"/>
      <c r="K443" s="2"/>
      <c r="L443" s="2"/>
      <c r="M443" s="2"/>
      <c r="N443" s="2"/>
      <c r="O443" s="2"/>
      <c r="P443" s="2"/>
      <c r="Q443" s="2"/>
      <c r="R443" s="2"/>
      <c r="S443" s="2"/>
      <c r="T443" s="2"/>
      <c r="U443" s="2"/>
      <c r="V443" s="2"/>
      <c r="W443" s="2"/>
      <c r="X443" s="2"/>
      <c r="Y443" s="2"/>
    </row>
    <row r="444">
      <c r="A444" s="25"/>
      <c r="B444" s="25"/>
      <c r="C444" s="25"/>
      <c r="D444" s="26"/>
      <c r="E444" s="26"/>
      <c r="F444" s="25"/>
      <c r="G444" s="25"/>
      <c r="H444" s="25"/>
      <c r="I444" s="26"/>
      <c r="J444" s="26"/>
      <c r="K444" s="2"/>
      <c r="L444" s="2"/>
      <c r="M444" s="2"/>
      <c r="N444" s="2"/>
      <c r="O444" s="2"/>
      <c r="P444" s="2"/>
      <c r="Q444" s="2"/>
      <c r="R444" s="2"/>
      <c r="S444" s="2"/>
      <c r="T444" s="2"/>
      <c r="U444" s="2"/>
      <c r="V444" s="2"/>
      <c r="W444" s="2"/>
      <c r="X444" s="2"/>
      <c r="Y444" s="2"/>
    </row>
    <row r="445">
      <c r="A445" s="25"/>
      <c r="B445" s="25"/>
      <c r="C445" s="25"/>
      <c r="D445" s="26"/>
      <c r="E445" s="26"/>
      <c r="F445" s="25"/>
      <c r="G445" s="25"/>
      <c r="H445" s="25"/>
      <c r="I445" s="26"/>
      <c r="J445" s="26"/>
      <c r="K445" s="2"/>
      <c r="L445" s="2"/>
      <c r="M445" s="2"/>
      <c r="N445" s="2"/>
      <c r="O445" s="2"/>
      <c r="P445" s="2"/>
      <c r="Q445" s="2"/>
      <c r="R445" s="2"/>
      <c r="S445" s="2"/>
      <c r="T445" s="2"/>
      <c r="U445" s="2"/>
      <c r="V445" s="2"/>
      <c r="W445" s="2"/>
      <c r="X445" s="2"/>
      <c r="Y445" s="2"/>
    </row>
    <row r="446">
      <c r="A446" s="25"/>
      <c r="B446" s="25"/>
      <c r="C446" s="25"/>
      <c r="D446" s="26"/>
      <c r="E446" s="26"/>
      <c r="F446" s="25"/>
      <c r="G446" s="25"/>
      <c r="H446" s="25"/>
      <c r="I446" s="26"/>
      <c r="J446" s="26"/>
      <c r="K446" s="2"/>
      <c r="L446" s="2"/>
      <c r="M446" s="2"/>
      <c r="N446" s="2"/>
      <c r="O446" s="2"/>
      <c r="P446" s="2"/>
      <c r="Q446" s="2"/>
      <c r="R446" s="2"/>
      <c r="S446" s="2"/>
      <c r="T446" s="2"/>
      <c r="U446" s="2"/>
      <c r="V446" s="2"/>
      <c r="W446" s="2"/>
      <c r="X446" s="2"/>
      <c r="Y446" s="2"/>
    </row>
    <row r="447">
      <c r="A447" s="25"/>
      <c r="B447" s="25"/>
      <c r="C447" s="25"/>
      <c r="D447" s="26"/>
      <c r="E447" s="26"/>
      <c r="F447" s="25"/>
      <c r="G447" s="25"/>
      <c r="H447" s="25"/>
      <c r="I447" s="26"/>
      <c r="J447" s="26"/>
      <c r="K447" s="2"/>
      <c r="L447" s="2"/>
      <c r="M447" s="2"/>
      <c r="N447" s="2"/>
      <c r="O447" s="2"/>
      <c r="P447" s="2"/>
      <c r="Q447" s="2"/>
      <c r="R447" s="2"/>
      <c r="S447" s="2"/>
      <c r="T447" s="2"/>
      <c r="U447" s="2"/>
      <c r="V447" s="2"/>
      <c r="W447" s="2"/>
      <c r="X447" s="2"/>
      <c r="Y447" s="2"/>
    </row>
    <row r="448">
      <c r="A448" s="25"/>
      <c r="B448" s="25"/>
      <c r="C448" s="25"/>
      <c r="D448" s="26"/>
      <c r="E448" s="26"/>
      <c r="F448" s="25"/>
      <c r="G448" s="25"/>
      <c r="H448" s="25"/>
      <c r="I448" s="26"/>
      <c r="J448" s="26"/>
      <c r="K448" s="2"/>
      <c r="L448" s="2"/>
      <c r="M448" s="2"/>
      <c r="N448" s="2"/>
      <c r="O448" s="2"/>
      <c r="P448" s="2"/>
      <c r="Q448" s="2"/>
      <c r="R448" s="2"/>
      <c r="S448" s="2"/>
      <c r="T448" s="2"/>
      <c r="U448" s="2"/>
      <c r="V448" s="2"/>
      <c r="W448" s="2"/>
      <c r="X448" s="2"/>
      <c r="Y448" s="2"/>
    </row>
    <row r="449">
      <c r="A449" s="25"/>
      <c r="B449" s="25"/>
      <c r="C449" s="25"/>
      <c r="D449" s="26"/>
      <c r="E449" s="26"/>
      <c r="F449" s="25"/>
      <c r="G449" s="25"/>
      <c r="H449" s="25"/>
      <c r="I449" s="26"/>
      <c r="J449" s="26"/>
      <c r="K449" s="2"/>
      <c r="L449" s="2"/>
      <c r="M449" s="2"/>
      <c r="N449" s="2"/>
      <c r="O449" s="2"/>
      <c r="P449" s="2"/>
      <c r="Q449" s="2"/>
      <c r="R449" s="2"/>
      <c r="S449" s="2"/>
      <c r="T449" s="2"/>
      <c r="U449" s="2"/>
      <c r="V449" s="2"/>
      <c r="W449" s="2"/>
      <c r="X449" s="2"/>
      <c r="Y449" s="2"/>
    </row>
    <row r="450">
      <c r="A450" s="25"/>
      <c r="B450" s="25"/>
      <c r="C450" s="25"/>
      <c r="D450" s="26"/>
      <c r="E450" s="26"/>
      <c r="F450" s="25"/>
      <c r="G450" s="25"/>
      <c r="H450" s="25"/>
      <c r="I450" s="26"/>
      <c r="J450" s="26"/>
      <c r="K450" s="2"/>
      <c r="L450" s="2"/>
      <c r="M450" s="2"/>
      <c r="N450" s="2"/>
      <c r="O450" s="2"/>
      <c r="P450" s="2"/>
      <c r="Q450" s="2"/>
      <c r="R450" s="2"/>
      <c r="S450" s="2"/>
      <c r="T450" s="2"/>
      <c r="U450" s="2"/>
      <c r="V450" s="2"/>
      <c r="W450" s="2"/>
      <c r="X450" s="2"/>
      <c r="Y450" s="2"/>
    </row>
    <row r="451">
      <c r="A451" s="25"/>
      <c r="B451" s="25"/>
      <c r="C451" s="25"/>
      <c r="D451" s="26"/>
      <c r="E451" s="26"/>
      <c r="F451" s="25"/>
      <c r="G451" s="25"/>
      <c r="H451" s="25"/>
      <c r="I451" s="26"/>
      <c r="J451" s="26"/>
      <c r="K451" s="2"/>
      <c r="L451" s="2"/>
      <c r="M451" s="2"/>
      <c r="N451" s="2"/>
      <c r="O451" s="2"/>
      <c r="P451" s="2"/>
      <c r="Q451" s="2"/>
      <c r="R451" s="2"/>
      <c r="S451" s="2"/>
      <c r="T451" s="2"/>
      <c r="U451" s="2"/>
      <c r="V451" s="2"/>
      <c r="W451" s="2"/>
      <c r="X451" s="2"/>
      <c r="Y451" s="2"/>
    </row>
    <row r="452">
      <c r="A452" s="25"/>
      <c r="B452" s="25"/>
      <c r="C452" s="25"/>
      <c r="D452" s="26"/>
      <c r="E452" s="26"/>
      <c r="F452" s="25"/>
      <c r="G452" s="25"/>
      <c r="H452" s="25"/>
      <c r="I452" s="26"/>
      <c r="J452" s="26"/>
      <c r="K452" s="2"/>
      <c r="L452" s="2"/>
      <c r="M452" s="2"/>
      <c r="N452" s="2"/>
      <c r="O452" s="2"/>
      <c r="P452" s="2"/>
      <c r="Q452" s="2"/>
      <c r="R452" s="2"/>
      <c r="S452" s="2"/>
      <c r="T452" s="2"/>
      <c r="U452" s="2"/>
      <c r="V452" s="2"/>
      <c r="W452" s="2"/>
      <c r="X452" s="2"/>
      <c r="Y452" s="2"/>
    </row>
    <row r="453">
      <c r="A453" s="25"/>
      <c r="B453" s="25"/>
      <c r="C453" s="25"/>
      <c r="D453" s="26"/>
      <c r="E453" s="26"/>
      <c r="F453" s="25"/>
      <c r="G453" s="25"/>
      <c r="H453" s="25"/>
      <c r="I453" s="26"/>
      <c r="J453" s="26"/>
      <c r="K453" s="2"/>
      <c r="L453" s="2"/>
      <c r="M453" s="2"/>
      <c r="N453" s="2"/>
      <c r="O453" s="2"/>
      <c r="P453" s="2"/>
      <c r="Q453" s="2"/>
      <c r="R453" s="2"/>
      <c r="S453" s="2"/>
      <c r="T453" s="2"/>
      <c r="U453" s="2"/>
      <c r="V453" s="2"/>
      <c r="W453" s="2"/>
      <c r="X453" s="2"/>
      <c r="Y453" s="2"/>
    </row>
    <row r="454">
      <c r="A454" s="25"/>
      <c r="B454" s="25"/>
      <c r="C454" s="25"/>
      <c r="D454" s="26"/>
      <c r="E454" s="26"/>
      <c r="F454" s="25"/>
      <c r="G454" s="25"/>
      <c r="H454" s="25"/>
      <c r="I454" s="26"/>
      <c r="J454" s="26"/>
      <c r="K454" s="2"/>
      <c r="L454" s="2"/>
      <c r="M454" s="2"/>
      <c r="N454" s="2"/>
      <c r="O454" s="2"/>
      <c r="P454" s="2"/>
      <c r="Q454" s="2"/>
      <c r="R454" s="2"/>
      <c r="S454" s="2"/>
      <c r="T454" s="2"/>
      <c r="U454" s="2"/>
      <c r="V454" s="2"/>
      <c r="W454" s="2"/>
      <c r="X454" s="2"/>
      <c r="Y454" s="2"/>
    </row>
    <row r="455">
      <c r="A455" s="25"/>
      <c r="B455" s="25"/>
      <c r="C455" s="25"/>
      <c r="D455" s="26"/>
      <c r="E455" s="26"/>
      <c r="F455" s="25"/>
      <c r="G455" s="25"/>
      <c r="H455" s="25"/>
      <c r="I455" s="26"/>
      <c r="J455" s="26"/>
      <c r="K455" s="2"/>
      <c r="L455" s="2"/>
      <c r="M455" s="2"/>
      <c r="N455" s="2"/>
      <c r="O455" s="2"/>
      <c r="P455" s="2"/>
      <c r="Q455" s="2"/>
      <c r="R455" s="2"/>
      <c r="S455" s="2"/>
      <c r="T455" s="2"/>
      <c r="U455" s="2"/>
      <c r="V455" s="2"/>
      <c r="W455" s="2"/>
      <c r="X455" s="2"/>
      <c r="Y455" s="2"/>
    </row>
    <row r="456">
      <c r="A456" s="25"/>
      <c r="B456" s="25"/>
      <c r="C456" s="25"/>
      <c r="D456" s="26"/>
      <c r="E456" s="26"/>
      <c r="F456" s="25"/>
      <c r="G456" s="25"/>
      <c r="H456" s="25"/>
      <c r="I456" s="26"/>
      <c r="J456" s="26"/>
      <c r="K456" s="2"/>
      <c r="L456" s="2"/>
      <c r="M456" s="2"/>
      <c r="N456" s="2"/>
      <c r="O456" s="2"/>
      <c r="P456" s="2"/>
      <c r="Q456" s="2"/>
      <c r="R456" s="2"/>
      <c r="S456" s="2"/>
      <c r="T456" s="2"/>
      <c r="U456" s="2"/>
      <c r="V456" s="2"/>
      <c r="W456" s="2"/>
      <c r="X456" s="2"/>
      <c r="Y456" s="2"/>
    </row>
    <row r="457">
      <c r="A457" s="25"/>
      <c r="B457" s="25"/>
      <c r="C457" s="25"/>
      <c r="D457" s="26"/>
      <c r="E457" s="26"/>
      <c r="F457" s="25"/>
      <c r="G457" s="25"/>
      <c r="H457" s="25"/>
      <c r="I457" s="26"/>
      <c r="J457" s="26"/>
      <c r="K457" s="2"/>
      <c r="L457" s="2"/>
      <c r="M457" s="2"/>
      <c r="N457" s="2"/>
      <c r="O457" s="2"/>
      <c r="P457" s="2"/>
      <c r="Q457" s="2"/>
      <c r="R457" s="2"/>
      <c r="S457" s="2"/>
      <c r="T457" s="2"/>
      <c r="U457" s="2"/>
      <c r="V457" s="2"/>
      <c r="W457" s="2"/>
      <c r="X457" s="2"/>
      <c r="Y457" s="2"/>
    </row>
    <row r="458">
      <c r="A458" s="25"/>
      <c r="B458" s="25"/>
      <c r="C458" s="25"/>
      <c r="D458" s="26"/>
      <c r="E458" s="26"/>
      <c r="F458" s="25"/>
      <c r="G458" s="25"/>
      <c r="H458" s="25"/>
      <c r="I458" s="26"/>
      <c r="J458" s="26"/>
      <c r="K458" s="2"/>
      <c r="L458" s="2"/>
      <c r="M458" s="2"/>
      <c r="N458" s="2"/>
      <c r="O458" s="2"/>
      <c r="P458" s="2"/>
      <c r="Q458" s="2"/>
      <c r="R458" s="2"/>
      <c r="S458" s="2"/>
      <c r="T458" s="2"/>
      <c r="U458" s="2"/>
      <c r="V458" s="2"/>
      <c r="W458" s="2"/>
      <c r="X458" s="2"/>
      <c r="Y458" s="2"/>
    </row>
    <row r="459">
      <c r="A459" s="25"/>
      <c r="B459" s="25"/>
      <c r="C459" s="25"/>
      <c r="D459" s="26"/>
      <c r="E459" s="26"/>
      <c r="F459" s="25"/>
      <c r="G459" s="25"/>
      <c r="H459" s="25"/>
      <c r="I459" s="26"/>
      <c r="J459" s="26"/>
      <c r="K459" s="2"/>
      <c r="L459" s="2"/>
      <c r="M459" s="2"/>
      <c r="N459" s="2"/>
      <c r="O459" s="2"/>
      <c r="P459" s="2"/>
      <c r="Q459" s="2"/>
      <c r="R459" s="2"/>
      <c r="S459" s="2"/>
      <c r="T459" s="2"/>
      <c r="U459" s="2"/>
      <c r="V459" s="2"/>
      <c r="W459" s="2"/>
      <c r="X459" s="2"/>
      <c r="Y459" s="2"/>
    </row>
    <row r="460">
      <c r="A460" s="25"/>
      <c r="B460" s="25"/>
      <c r="C460" s="25"/>
      <c r="D460" s="26"/>
      <c r="E460" s="26"/>
      <c r="F460" s="25"/>
      <c r="G460" s="25"/>
      <c r="H460" s="25"/>
      <c r="I460" s="26"/>
      <c r="J460" s="26"/>
      <c r="K460" s="2"/>
      <c r="L460" s="2"/>
      <c r="M460" s="2"/>
      <c r="N460" s="2"/>
      <c r="O460" s="2"/>
      <c r="P460" s="2"/>
      <c r="Q460" s="2"/>
      <c r="R460" s="2"/>
      <c r="S460" s="2"/>
      <c r="T460" s="2"/>
      <c r="U460" s="2"/>
      <c r="V460" s="2"/>
      <c r="W460" s="2"/>
      <c r="X460" s="2"/>
      <c r="Y460" s="2"/>
    </row>
    <row r="461">
      <c r="A461" s="25"/>
      <c r="B461" s="25"/>
      <c r="C461" s="25"/>
      <c r="D461" s="26"/>
      <c r="E461" s="26"/>
      <c r="F461" s="25"/>
      <c r="G461" s="25"/>
      <c r="H461" s="25"/>
      <c r="I461" s="26"/>
      <c r="J461" s="26"/>
      <c r="K461" s="2"/>
      <c r="L461" s="2"/>
      <c r="M461" s="2"/>
      <c r="N461" s="2"/>
      <c r="O461" s="2"/>
      <c r="P461" s="2"/>
      <c r="Q461" s="2"/>
      <c r="R461" s="2"/>
      <c r="S461" s="2"/>
      <c r="T461" s="2"/>
      <c r="U461" s="2"/>
      <c r="V461" s="2"/>
      <c r="W461" s="2"/>
      <c r="X461" s="2"/>
      <c r="Y461" s="2"/>
    </row>
    <row r="462">
      <c r="A462" s="25"/>
      <c r="B462" s="25"/>
      <c r="C462" s="25"/>
      <c r="D462" s="26"/>
      <c r="E462" s="26"/>
      <c r="F462" s="25"/>
      <c r="G462" s="25"/>
      <c r="H462" s="25"/>
      <c r="I462" s="26"/>
      <c r="J462" s="26"/>
      <c r="K462" s="2"/>
      <c r="L462" s="2"/>
      <c r="M462" s="2"/>
      <c r="N462" s="2"/>
      <c r="O462" s="2"/>
      <c r="P462" s="2"/>
      <c r="Q462" s="2"/>
      <c r="R462" s="2"/>
      <c r="S462" s="2"/>
      <c r="T462" s="2"/>
      <c r="U462" s="2"/>
      <c r="V462" s="2"/>
      <c r="W462" s="2"/>
      <c r="X462" s="2"/>
      <c r="Y462" s="2"/>
    </row>
    <row r="463">
      <c r="A463" s="25"/>
      <c r="B463" s="25"/>
      <c r="C463" s="25"/>
      <c r="D463" s="26"/>
      <c r="E463" s="26"/>
      <c r="F463" s="25"/>
      <c r="G463" s="25"/>
      <c r="H463" s="25"/>
      <c r="I463" s="26"/>
      <c r="J463" s="26"/>
      <c r="K463" s="2"/>
      <c r="L463" s="2"/>
      <c r="M463" s="2"/>
      <c r="N463" s="2"/>
      <c r="O463" s="2"/>
      <c r="P463" s="2"/>
      <c r="Q463" s="2"/>
      <c r="R463" s="2"/>
      <c r="S463" s="2"/>
      <c r="T463" s="2"/>
      <c r="U463" s="2"/>
      <c r="V463" s="2"/>
      <c r="W463" s="2"/>
      <c r="X463" s="2"/>
      <c r="Y463" s="2"/>
    </row>
    <row r="464">
      <c r="A464" s="25"/>
      <c r="B464" s="25"/>
      <c r="C464" s="25"/>
      <c r="D464" s="26"/>
      <c r="E464" s="26"/>
      <c r="F464" s="25"/>
      <c r="G464" s="25"/>
      <c r="H464" s="25"/>
      <c r="I464" s="26"/>
      <c r="J464" s="26"/>
      <c r="K464" s="2"/>
      <c r="L464" s="2"/>
      <c r="M464" s="2"/>
      <c r="N464" s="2"/>
      <c r="O464" s="2"/>
      <c r="P464" s="2"/>
      <c r="Q464" s="2"/>
      <c r="R464" s="2"/>
      <c r="S464" s="2"/>
      <c r="T464" s="2"/>
      <c r="U464" s="2"/>
      <c r="V464" s="2"/>
      <c r="W464" s="2"/>
      <c r="X464" s="2"/>
      <c r="Y464" s="2"/>
    </row>
    <row r="465">
      <c r="A465" s="25"/>
      <c r="B465" s="25"/>
      <c r="C465" s="25"/>
      <c r="D465" s="26"/>
      <c r="E465" s="26"/>
      <c r="F465" s="25"/>
      <c r="G465" s="25"/>
      <c r="H465" s="25"/>
      <c r="I465" s="26"/>
      <c r="J465" s="26"/>
      <c r="K465" s="2"/>
      <c r="L465" s="2"/>
      <c r="M465" s="2"/>
      <c r="N465" s="2"/>
      <c r="O465" s="2"/>
      <c r="P465" s="2"/>
      <c r="Q465" s="2"/>
      <c r="R465" s="2"/>
      <c r="S465" s="2"/>
      <c r="T465" s="2"/>
      <c r="U465" s="2"/>
      <c r="V465" s="2"/>
      <c r="W465" s="2"/>
      <c r="X465" s="2"/>
      <c r="Y465" s="2"/>
    </row>
    <row r="466">
      <c r="A466" s="25"/>
      <c r="B466" s="25"/>
      <c r="C466" s="25"/>
      <c r="D466" s="26"/>
      <c r="E466" s="26"/>
      <c r="F466" s="25"/>
      <c r="G466" s="25"/>
      <c r="H466" s="25"/>
      <c r="I466" s="26"/>
      <c r="J466" s="26"/>
      <c r="K466" s="2"/>
      <c r="L466" s="2"/>
      <c r="M466" s="2"/>
      <c r="N466" s="2"/>
      <c r="O466" s="2"/>
      <c r="P466" s="2"/>
      <c r="Q466" s="2"/>
      <c r="R466" s="2"/>
      <c r="S466" s="2"/>
      <c r="T466" s="2"/>
      <c r="U466" s="2"/>
      <c r="V466" s="2"/>
      <c r="W466" s="2"/>
      <c r="X466" s="2"/>
      <c r="Y466" s="2"/>
    </row>
    <row r="467">
      <c r="A467" s="25"/>
      <c r="B467" s="25"/>
      <c r="C467" s="25"/>
      <c r="D467" s="26"/>
      <c r="E467" s="26"/>
      <c r="F467" s="25"/>
      <c r="G467" s="25"/>
      <c r="H467" s="25"/>
      <c r="I467" s="26"/>
      <c r="J467" s="26"/>
      <c r="K467" s="2"/>
      <c r="L467" s="2"/>
      <c r="M467" s="2"/>
      <c r="N467" s="2"/>
      <c r="O467" s="2"/>
      <c r="P467" s="2"/>
      <c r="Q467" s="2"/>
      <c r="R467" s="2"/>
      <c r="S467" s="2"/>
      <c r="T467" s="2"/>
      <c r="U467" s="2"/>
      <c r="V467" s="2"/>
      <c r="W467" s="2"/>
      <c r="X467" s="2"/>
      <c r="Y467" s="2"/>
    </row>
    <row r="468">
      <c r="A468" s="25"/>
      <c r="B468" s="25"/>
      <c r="C468" s="25"/>
      <c r="D468" s="26"/>
      <c r="E468" s="26"/>
      <c r="F468" s="25"/>
      <c r="G468" s="25"/>
      <c r="H468" s="25"/>
      <c r="I468" s="26"/>
      <c r="J468" s="26"/>
      <c r="K468" s="2"/>
      <c r="L468" s="2"/>
      <c r="M468" s="2"/>
      <c r="N468" s="2"/>
      <c r="O468" s="2"/>
      <c r="P468" s="2"/>
      <c r="Q468" s="2"/>
      <c r="R468" s="2"/>
      <c r="S468" s="2"/>
      <c r="T468" s="2"/>
      <c r="U468" s="2"/>
      <c r="V468" s="2"/>
      <c r="W468" s="2"/>
      <c r="X468" s="2"/>
      <c r="Y468" s="2"/>
    </row>
    <row r="469">
      <c r="A469" s="25"/>
      <c r="B469" s="25"/>
      <c r="C469" s="25"/>
      <c r="D469" s="26"/>
      <c r="E469" s="26"/>
      <c r="F469" s="25"/>
      <c r="G469" s="25"/>
      <c r="H469" s="25"/>
      <c r="I469" s="26"/>
      <c r="J469" s="26"/>
      <c r="K469" s="2"/>
      <c r="L469" s="2"/>
      <c r="M469" s="2"/>
      <c r="N469" s="2"/>
      <c r="O469" s="2"/>
      <c r="P469" s="2"/>
      <c r="Q469" s="2"/>
      <c r="R469" s="2"/>
      <c r="S469" s="2"/>
      <c r="T469" s="2"/>
      <c r="U469" s="2"/>
      <c r="V469" s="2"/>
      <c r="W469" s="2"/>
      <c r="X469" s="2"/>
      <c r="Y469" s="2"/>
    </row>
    <row r="470">
      <c r="A470" s="25"/>
      <c r="B470" s="25"/>
      <c r="C470" s="25"/>
      <c r="D470" s="26"/>
      <c r="E470" s="26"/>
      <c r="F470" s="25"/>
      <c r="G470" s="25"/>
      <c r="H470" s="25"/>
      <c r="I470" s="26"/>
      <c r="J470" s="26"/>
      <c r="K470" s="2"/>
      <c r="L470" s="2"/>
      <c r="M470" s="2"/>
      <c r="N470" s="2"/>
      <c r="O470" s="2"/>
      <c r="P470" s="2"/>
      <c r="Q470" s="2"/>
      <c r="R470" s="2"/>
      <c r="S470" s="2"/>
      <c r="T470" s="2"/>
      <c r="U470" s="2"/>
      <c r="V470" s="2"/>
      <c r="W470" s="2"/>
      <c r="X470" s="2"/>
      <c r="Y470" s="2"/>
    </row>
    <row r="471">
      <c r="A471" s="25"/>
      <c r="B471" s="25"/>
      <c r="C471" s="25"/>
      <c r="D471" s="26"/>
      <c r="E471" s="26"/>
      <c r="F471" s="25"/>
      <c r="G471" s="25"/>
      <c r="H471" s="25"/>
      <c r="I471" s="26"/>
      <c r="J471" s="26"/>
      <c r="K471" s="2"/>
      <c r="L471" s="2"/>
      <c r="M471" s="2"/>
      <c r="N471" s="2"/>
      <c r="O471" s="2"/>
      <c r="P471" s="2"/>
      <c r="Q471" s="2"/>
      <c r="R471" s="2"/>
      <c r="S471" s="2"/>
      <c r="T471" s="2"/>
      <c r="U471" s="2"/>
      <c r="V471" s="2"/>
      <c r="W471" s="2"/>
      <c r="X471" s="2"/>
      <c r="Y471" s="2"/>
    </row>
    <row r="472">
      <c r="A472" s="25"/>
      <c r="B472" s="25"/>
      <c r="C472" s="25"/>
      <c r="D472" s="26"/>
      <c r="E472" s="26"/>
      <c r="F472" s="25"/>
      <c r="G472" s="25"/>
      <c r="H472" s="25"/>
      <c r="I472" s="26"/>
      <c r="J472" s="26"/>
      <c r="K472" s="2"/>
      <c r="L472" s="2"/>
      <c r="M472" s="2"/>
      <c r="N472" s="2"/>
      <c r="O472" s="2"/>
      <c r="P472" s="2"/>
      <c r="Q472" s="2"/>
      <c r="R472" s="2"/>
      <c r="S472" s="2"/>
      <c r="T472" s="2"/>
      <c r="U472" s="2"/>
      <c r="V472" s="2"/>
      <c r="W472" s="2"/>
      <c r="X472" s="2"/>
      <c r="Y472" s="2"/>
    </row>
    <row r="473">
      <c r="A473" s="25"/>
      <c r="B473" s="25"/>
      <c r="C473" s="25"/>
      <c r="D473" s="26"/>
      <c r="E473" s="26"/>
      <c r="F473" s="25"/>
      <c r="G473" s="25"/>
      <c r="H473" s="25"/>
      <c r="I473" s="26"/>
      <c r="J473" s="26"/>
      <c r="K473" s="2"/>
      <c r="L473" s="2"/>
      <c r="M473" s="2"/>
      <c r="N473" s="2"/>
      <c r="O473" s="2"/>
      <c r="P473" s="2"/>
      <c r="Q473" s="2"/>
      <c r="R473" s="2"/>
      <c r="S473" s="2"/>
      <c r="T473" s="2"/>
      <c r="U473" s="2"/>
      <c r="V473" s="2"/>
      <c r="W473" s="2"/>
      <c r="X473" s="2"/>
      <c r="Y473" s="2"/>
    </row>
    <row r="474">
      <c r="A474" s="25"/>
      <c r="B474" s="25"/>
      <c r="C474" s="25"/>
      <c r="D474" s="26"/>
      <c r="E474" s="26"/>
      <c r="F474" s="25"/>
      <c r="G474" s="25"/>
      <c r="H474" s="25"/>
      <c r="I474" s="26"/>
      <c r="J474" s="26"/>
      <c r="K474" s="2"/>
      <c r="L474" s="2"/>
      <c r="M474" s="2"/>
      <c r="N474" s="2"/>
      <c r="O474" s="2"/>
      <c r="P474" s="2"/>
      <c r="Q474" s="2"/>
      <c r="R474" s="2"/>
      <c r="S474" s="2"/>
      <c r="T474" s="2"/>
      <c r="U474" s="2"/>
      <c r="V474" s="2"/>
      <c r="W474" s="2"/>
      <c r="X474" s="2"/>
      <c r="Y474" s="2"/>
    </row>
    <row r="475">
      <c r="A475" s="25"/>
      <c r="B475" s="25"/>
      <c r="C475" s="25"/>
      <c r="D475" s="26"/>
      <c r="E475" s="26"/>
      <c r="F475" s="25"/>
      <c r="G475" s="25"/>
      <c r="H475" s="25"/>
      <c r="I475" s="26"/>
      <c r="J475" s="26"/>
      <c r="K475" s="2"/>
      <c r="L475" s="2"/>
      <c r="M475" s="2"/>
      <c r="N475" s="2"/>
      <c r="O475" s="2"/>
      <c r="P475" s="2"/>
      <c r="Q475" s="2"/>
      <c r="R475" s="2"/>
      <c r="S475" s="2"/>
      <c r="T475" s="2"/>
      <c r="U475" s="2"/>
      <c r="V475" s="2"/>
      <c r="W475" s="2"/>
      <c r="X475" s="2"/>
      <c r="Y475" s="2"/>
    </row>
    <row r="476">
      <c r="A476" s="25"/>
      <c r="B476" s="25"/>
      <c r="C476" s="25"/>
      <c r="D476" s="26"/>
      <c r="E476" s="26"/>
      <c r="F476" s="25"/>
      <c r="G476" s="25"/>
      <c r="H476" s="25"/>
      <c r="I476" s="26"/>
      <c r="J476" s="26"/>
      <c r="K476" s="2"/>
      <c r="L476" s="2"/>
      <c r="M476" s="2"/>
      <c r="N476" s="2"/>
      <c r="O476" s="2"/>
      <c r="P476" s="2"/>
      <c r="Q476" s="2"/>
      <c r="R476" s="2"/>
      <c r="S476" s="2"/>
      <c r="T476" s="2"/>
      <c r="U476" s="2"/>
      <c r="V476" s="2"/>
      <c r="W476" s="2"/>
      <c r="X476" s="2"/>
      <c r="Y476" s="2"/>
    </row>
    <row r="477">
      <c r="A477" s="25"/>
      <c r="B477" s="25"/>
      <c r="C477" s="25"/>
      <c r="D477" s="26"/>
      <c r="E477" s="26"/>
      <c r="F477" s="25"/>
      <c r="G477" s="25"/>
      <c r="H477" s="25"/>
      <c r="I477" s="26"/>
      <c r="J477" s="26"/>
      <c r="K477" s="2"/>
      <c r="L477" s="2"/>
      <c r="M477" s="2"/>
      <c r="N477" s="2"/>
      <c r="O477" s="2"/>
      <c r="P477" s="2"/>
      <c r="Q477" s="2"/>
      <c r="R477" s="2"/>
      <c r="S477" s="2"/>
      <c r="T477" s="2"/>
      <c r="U477" s="2"/>
      <c r="V477" s="2"/>
      <c r="W477" s="2"/>
      <c r="X477" s="2"/>
      <c r="Y477" s="2"/>
    </row>
    <row r="478">
      <c r="A478" s="25"/>
      <c r="B478" s="25"/>
      <c r="C478" s="25"/>
      <c r="D478" s="26"/>
      <c r="E478" s="26"/>
      <c r="F478" s="25"/>
      <c r="G478" s="25"/>
      <c r="H478" s="25"/>
      <c r="I478" s="26"/>
      <c r="J478" s="26"/>
      <c r="K478" s="2"/>
      <c r="L478" s="2"/>
      <c r="M478" s="2"/>
      <c r="N478" s="2"/>
      <c r="O478" s="2"/>
      <c r="P478" s="2"/>
      <c r="Q478" s="2"/>
      <c r="R478" s="2"/>
      <c r="S478" s="2"/>
      <c r="T478" s="2"/>
      <c r="U478" s="2"/>
      <c r="V478" s="2"/>
      <c r="W478" s="2"/>
      <c r="X478" s="2"/>
      <c r="Y478" s="2"/>
    </row>
    <row r="479">
      <c r="A479" s="25"/>
      <c r="B479" s="25"/>
      <c r="C479" s="25"/>
      <c r="D479" s="26"/>
      <c r="E479" s="26"/>
      <c r="F479" s="25"/>
      <c r="G479" s="25"/>
      <c r="H479" s="25"/>
      <c r="I479" s="26"/>
      <c r="J479" s="26"/>
      <c r="K479" s="2"/>
      <c r="L479" s="2"/>
      <c r="M479" s="2"/>
      <c r="N479" s="2"/>
      <c r="O479" s="2"/>
      <c r="P479" s="2"/>
      <c r="Q479" s="2"/>
      <c r="R479" s="2"/>
      <c r="S479" s="2"/>
      <c r="T479" s="2"/>
      <c r="U479" s="2"/>
      <c r="V479" s="2"/>
      <c r="W479" s="2"/>
      <c r="X479" s="2"/>
      <c r="Y479" s="2"/>
    </row>
    <row r="480">
      <c r="A480" s="25"/>
      <c r="B480" s="25"/>
      <c r="C480" s="25"/>
      <c r="D480" s="26"/>
      <c r="E480" s="26"/>
      <c r="F480" s="25"/>
      <c r="G480" s="25"/>
      <c r="H480" s="25"/>
      <c r="I480" s="26"/>
      <c r="J480" s="26"/>
      <c r="K480" s="2"/>
      <c r="L480" s="2"/>
      <c r="M480" s="2"/>
      <c r="N480" s="2"/>
      <c r="O480" s="2"/>
      <c r="P480" s="2"/>
      <c r="Q480" s="2"/>
      <c r="R480" s="2"/>
      <c r="S480" s="2"/>
      <c r="T480" s="2"/>
      <c r="U480" s="2"/>
      <c r="V480" s="2"/>
      <c r="W480" s="2"/>
      <c r="X480" s="2"/>
      <c r="Y480" s="2"/>
    </row>
    <row r="481">
      <c r="A481" s="25"/>
      <c r="B481" s="25"/>
      <c r="C481" s="25"/>
      <c r="D481" s="26"/>
      <c r="E481" s="26"/>
      <c r="F481" s="25"/>
      <c r="G481" s="25"/>
      <c r="H481" s="25"/>
      <c r="I481" s="26"/>
      <c r="J481" s="26"/>
      <c r="K481" s="2"/>
      <c r="L481" s="2"/>
      <c r="M481" s="2"/>
      <c r="N481" s="2"/>
      <c r="O481" s="2"/>
      <c r="P481" s="2"/>
      <c r="Q481" s="2"/>
      <c r="R481" s="2"/>
      <c r="S481" s="2"/>
      <c r="T481" s="2"/>
      <c r="U481" s="2"/>
      <c r="V481" s="2"/>
      <c r="W481" s="2"/>
      <c r="X481" s="2"/>
      <c r="Y481" s="2"/>
    </row>
    <row r="482">
      <c r="A482" s="25"/>
      <c r="B482" s="25"/>
      <c r="C482" s="25"/>
      <c r="D482" s="26"/>
      <c r="E482" s="26"/>
      <c r="F482" s="25"/>
      <c r="G482" s="25"/>
      <c r="H482" s="25"/>
      <c r="I482" s="26"/>
      <c r="J482" s="26"/>
      <c r="K482" s="2"/>
      <c r="L482" s="2"/>
      <c r="M482" s="2"/>
      <c r="N482" s="2"/>
      <c r="O482" s="2"/>
      <c r="P482" s="2"/>
      <c r="Q482" s="2"/>
      <c r="R482" s="2"/>
      <c r="S482" s="2"/>
      <c r="T482" s="2"/>
      <c r="U482" s="2"/>
      <c r="V482" s="2"/>
      <c r="W482" s="2"/>
      <c r="X482" s="2"/>
      <c r="Y482" s="2"/>
    </row>
    <row r="483">
      <c r="A483" s="25"/>
      <c r="B483" s="25"/>
      <c r="C483" s="25"/>
      <c r="D483" s="26"/>
      <c r="E483" s="26"/>
      <c r="F483" s="25"/>
      <c r="G483" s="25"/>
      <c r="H483" s="25"/>
      <c r="I483" s="26"/>
      <c r="J483" s="26"/>
      <c r="K483" s="2"/>
      <c r="L483" s="2"/>
      <c r="M483" s="2"/>
      <c r="N483" s="2"/>
      <c r="O483" s="2"/>
      <c r="P483" s="2"/>
      <c r="Q483" s="2"/>
      <c r="R483" s="2"/>
      <c r="S483" s="2"/>
      <c r="T483" s="2"/>
      <c r="U483" s="2"/>
      <c r="V483" s="2"/>
      <c r="W483" s="2"/>
      <c r="X483" s="2"/>
      <c r="Y483" s="2"/>
    </row>
    <row r="484">
      <c r="A484" s="25"/>
      <c r="B484" s="25"/>
      <c r="C484" s="25"/>
      <c r="D484" s="26"/>
      <c r="E484" s="26"/>
      <c r="F484" s="25"/>
      <c r="G484" s="25"/>
      <c r="H484" s="25"/>
      <c r="I484" s="26"/>
      <c r="J484" s="26"/>
      <c r="K484" s="2"/>
      <c r="L484" s="2"/>
      <c r="M484" s="2"/>
      <c r="N484" s="2"/>
      <c r="O484" s="2"/>
      <c r="P484" s="2"/>
      <c r="Q484" s="2"/>
      <c r="R484" s="2"/>
      <c r="S484" s="2"/>
      <c r="T484" s="2"/>
      <c r="U484" s="2"/>
      <c r="V484" s="2"/>
      <c r="W484" s="2"/>
      <c r="X484" s="2"/>
      <c r="Y484" s="2"/>
    </row>
    <row r="485">
      <c r="A485" s="25"/>
      <c r="B485" s="25"/>
      <c r="C485" s="25"/>
      <c r="D485" s="26"/>
      <c r="E485" s="26"/>
      <c r="F485" s="25"/>
      <c r="G485" s="25"/>
      <c r="H485" s="25"/>
      <c r="I485" s="26"/>
      <c r="J485" s="26"/>
      <c r="K485" s="2"/>
      <c r="L485" s="2"/>
      <c r="M485" s="2"/>
      <c r="N485" s="2"/>
      <c r="O485" s="2"/>
      <c r="P485" s="2"/>
      <c r="Q485" s="2"/>
      <c r="R485" s="2"/>
      <c r="S485" s="2"/>
      <c r="T485" s="2"/>
      <c r="U485" s="2"/>
      <c r="V485" s="2"/>
      <c r="W485" s="2"/>
      <c r="X485" s="2"/>
      <c r="Y485" s="2"/>
    </row>
    <row r="486">
      <c r="A486" s="25"/>
      <c r="B486" s="25"/>
      <c r="C486" s="25"/>
      <c r="D486" s="26"/>
      <c r="E486" s="26"/>
      <c r="F486" s="25"/>
      <c r="G486" s="25"/>
      <c r="H486" s="25"/>
      <c r="I486" s="26"/>
      <c r="J486" s="26"/>
      <c r="K486" s="2"/>
      <c r="L486" s="2"/>
      <c r="M486" s="2"/>
      <c r="N486" s="2"/>
      <c r="O486" s="2"/>
      <c r="P486" s="2"/>
      <c r="Q486" s="2"/>
      <c r="R486" s="2"/>
      <c r="S486" s="2"/>
      <c r="T486" s="2"/>
      <c r="U486" s="2"/>
      <c r="V486" s="2"/>
      <c r="W486" s="2"/>
      <c r="X486" s="2"/>
      <c r="Y486" s="2"/>
    </row>
    <row r="487">
      <c r="A487" s="25"/>
      <c r="B487" s="25"/>
      <c r="C487" s="25"/>
      <c r="D487" s="26"/>
      <c r="E487" s="26"/>
      <c r="F487" s="25"/>
      <c r="G487" s="25"/>
      <c r="H487" s="25"/>
      <c r="I487" s="26"/>
      <c r="J487" s="26"/>
      <c r="K487" s="2"/>
      <c r="L487" s="2"/>
      <c r="M487" s="2"/>
      <c r="N487" s="2"/>
      <c r="O487" s="2"/>
      <c r="P487" s="2"/>
      <c r="Q487" s="2"/>
      <c r="R487" s="2"/>
      <c r="S487" s="2"/>
      <c r="T487" s="2"/>
      <c r="U487" s="2"/>
      <c r="V487" s="2"/>
      <c r="W487" s="2"/>
      <c r="X487" s="2"/>
      <c r="Y487" s="2"/>
    </row>
    <row r="488">
      <c r="A488" s="25"/>
      <c r="B488" s="25"/>
      <c r="C488" s="25"/>
      <c r="D488" s="26"/>
      <c r="E488" s="26"/>
      <c r="F488" s="25"/>
      <c r="G488" s="25"/>
      <c r="H488" s="25"/>
      <c r="I488" s="26"/>
      <c r="J488" s="26"/>
      <c r="K488" s="2"/>
      <c r="L488" s="2"/>
      <c r="M488" s="2"/>
      <c r="N488" s="2"/>
      <c r="O488" s="2"/>
      <c r="P488" s="2"/>
      <c r="Q488" s="2"/>
      <c r="R488" s="2"/>
      <c r="S488" s="2"/>
      <c r="T488" s="2"/>
      <c r="U488" s="2"/>
      <c r="V488" s="2"/>
      <c r="W488" s="2"/>
      <c r="X488" s="2"/>
      <c r="Y488" s="2"/>
    </row>
    <row r="489">
      <c r="A489" s="25"/>
      <c r="B489" s="25"/>
      <c r="C489" s="25"/>
      <c r="D489" s="26"/>
      <c r="E489" s="26"/>
      <c r="F489" s="25"/>
      <c r="G489" s="25"/>
      <c r="H489" s="25"/>
      <c r="I489" s="26"/>
      <c r="J489" s="26"/>
      <c r="K489" s="2"/>
      <c r="L489" s="2"/>
      <c r="M489" s="2"/>
      <c r="N489" s="2"/>
      <c r="O489" s="2"/>
      <c r="P489" s="2"/>
      <c r="Q489" s="2"/>
      <c r="R489" s="2"/>
      <c r="S489" s="2"/>
      <c r="T489" s="2"/>
      <c r="U489" s="2"/>
      <c r="V489" s="2"/>
      <c r="W489" s="2"/>
      <c r="X489" s="2"/>
      <c r="Y489" s="2"/>
    </row>
    <row r="490">
      <c r="A490" s="25"/>
      <c r="B490" s="25"/>
      <c r="C490" s="25"/>
      <c r="D490" s="26"/>
      <c r="E490" s="26"/>
      <c r="F490" s="25"/>
      <c r="G490" s="25"/>
      <c r="H490" s="25"/>
      <c r="I490" s="26"/>
      <c r="J490" s="26"/>
      <c r="K490" s="2"/>
      <c r="L490" s="2"/>
      <c r="M490" s="2"/>
      <c r="N490" s="2"/>
      <c r="O490" s="2"/>
      <c r="P490" s="2"/>
      <c r="Q490" s="2"/>
      <c r="R490" s="2"/>
      <c r="S490" s="2"/>
      <c r="T490" s="2"/>
      <c r="U490" s="2"/>
      <c r="V490" s="2"/>
      <c r="W490" s="2"/>
      <c r="X490" s="2"/>
      <c r="Y490" s="2"/>
    </row>
    <row r="491">
      <c r="A491" s="25"/>
      <c r="B491" s="25"/>
      <c r="C491" s="25"/>
      <c r="D491" s="26"/>
      <c r="E491" s="26"/>
      <c r="F491" s="25"/>
      <c r="G491" s="25"/>
      <c r="H491" s="25"/>
      <c r="I491" s="26"/>
      <c r="J491" s="26"/>
      <c r="K491" s="2"/>
      <c r="L491" s="2"/>
      <c r="M491" s="2"/>
      <c r="N491" s="2"/>
      <c r="O491" s="2"/>
      <c r="P491" s="2"/>
      <c r="Q491" s="2"/>
      <c r="R491" s="2"/>
      <c r="S491" s="2"/>
      <c r="T491" s="2"/>
      <c r="U491" s="2"/>
      <c r="V491" s="2"/>
      <c r="W491" s="2"/>
      <c r="X491" s="2"/>
      <c r="Y491" s="2"/>
    </row>
    <row r="492">
      <c r="A492" s="25"/>
      <c r="B492" s="25"/>
      <c r="C492" s="25"/>
      <c r="D492" s="26"/>
      <c r="E492" s="26"/>
      <c r="F492" s="25"/>
      <c r="G492" s="25"/>
      <c r="H492" s="25"/>
      <c r="I492" s="26"/>
      <c r="J492" s="26"/>
      <c r="K492" s="2"/>
      <c r="L492" s="2"/>
      <c r="M492" s="2"/>
      <c r="N492" s="2"/>
      <c r="O492" s="2"/>
      <c r="P492" s="2"/>
      <c r="Q492" s="2"/>
      <c r="R492" s="2"/>
      <c r="S492" s="2"/>
      <c r="T492" s="2"/>
      <c r="U492" s="2"/>
      <c r="V492" s="2"/>
      <c r="W492" s="2"/>
      <c r="X492" s="2"/>
      <c r="Y492" s="2"/>
    </row>
    <row r="493">
      <c r="A493" s="25"/>
      <c r="B493" s="25"/>
      <c r="C493" s="25"/>
      <c r="D493" s="26"/>
      <c r="E493" s="26"/>
      <c r="F493" s="25"/>
      <c r="G493" s="25"/>
      <c r="H493" s="25"/>
      <c r="I493" s="26"/>
      <c r="J493" s="26"/>
      <c r="K493" s="2"/>
      <c r="L493" s="2"/>
      <c r="M493" s="2"/>
      <c r="N493" s="2"/>
      <c r="O493" s="2"/>
      <c r="P493" s="2"/>
      <c r="Q493" s="2"/>
      <c r="R493" s="2"/>
      <c r="S493" s="2"/>
      <c r="T493" s="2"/>
      <c r="U493" s="2"/>
      <c r="V493" s="2"/>
      <c r="W493" s="2"/>
      <c r="X493" s="2"/>
      <c r="Y493" s="2"/>
    </row>
    <row r="494">
      <c r="A494" s="25"/>
      <c r="B494" s="25"/>
      <c r="C494" s="25"/>
      <c r="D494" s="26"/>
      <c r="E494" s="26"/>
      <c r="F494" s="25"/>
      <c r="G494" s="25"/>
      <c r="H494" s="25"/>
      <c r="I494" s="26"/>
      <c r="J494" s="26"/>
      <c r="K494" s="2"/>
      <c r="L494" s="2"/>
      <c r="M494" s="2"/>
      <c r="N494" s="2"/>
      <c r="O494" s="2"/>
      <c r="P494" s="2"/>
      <c r="Q494" s="2"/>
      <c r="R494" s="2"/>
      <c r="S494" s="2"/>
      <c r="T494" s="2"/>
      <c r="U494" s="2"/>
      <c r="V494" s="2"/>
      <c r="W494" s="2"/>
      <c r="X494" s="2"/>
      <c r="Y494" s="2"/>
    </row>
    <row r="495">
      <c r="A495" s="25"/>
      <c r="B495" s="25"/>
      <c r="C495" s="25"/>
      <c r="D495" s="26"/>
      <c r="E495" s="26"/>
      <c r="F495" s="25"/>
      <c r="G495" s="25"/>
      <c r="H495" s="25"/>
      <c r="I495" s="26"/>
      <c r="J495" s="26"/>
      <c r="K495" s="2"/>
      <c r="L495" s="2"/>
      <c r="M495" s="2"/>
      <c r="N495" s="2"/>
      <c r="O495" s="2"/>
      <c r="P495" s="2"/>
      <c r="Q495" s="2"/>
      <c r="R495" s="2"/>
      <c r="S495" s="2"/>
      <c r="T495" s="2"/>
      <c r="U495" s="2"/>
      <c r="V495" s="2"/>
      <c r="W495" s="2"/>
      <c r="X495" s="2"/>
      <c r="Y495" s="2"/>
    </row>
    <row r="496">
      <c r="A496" s="25"/>
      <c r="B496" s="25"/>
      <c r="C496" s="25"/>
      <c r="D496" s="26"/>
      <c r="E496" s="26"/>
      <c r="F496" s="25"/>
      <c r="G496" s="25"/>
      <c r="H496" s="25"/>
      <c r="I496" s="26"/>
      <c r="J496" s="26"/>
      <c r="K496" s="2"/>
      <c r="L496" s="2"/>
      <c r="M496" s="2"/>
      <c r="N496" s="2"/>
      <c r="O496" s="2"/>
      <c r="P496" s="2"/>
      <c r="Q496" s="2"/>
      <c r="R496" s="2"/>
      <c r="S496" s="2"/>
      <c r="T496" s="2"/>
      <c r="U496" s="2"/>
      <c r="V496" s="2"/>
      <c r="W496" s="2"/>
      <c r="X496" s="2"/>
      <c r="Y496" s="2"/>
    </row>
    <row r="497">
      <c r="A497" s="25"/>
      <c r="B497" s="25"/>
      <c r="C497" s="25"/>
      <c r="D497" s="26"/>
      <c r="E497" s="26"/>
      <c r="F497" s="25"/>
      <c r="G497" s="25"/>
      <c r="H497" s="25"/>
      <c r="I497" s="26"/>
      <c r="J497" s="26"/>
      <c r="K497" s="2"/>
      <c r="L497" s="2"/>
      <c r="M497" s="2"/>
      <c r="N497" s="2"/>
      <c r="O497" s="2"/>
      <c r="P497" s="2"/>
      <c r="Q497" s="2"/>
      <c r="R497" s="2"/>
      <c r="S497" s="2"/>
      <c r="T497" s="2"/>
      <c r="U497" s="2"/>
      <c r="V497" s="2"/>
      <c r="W497" s="2"/>
      <c r="X497" s="2"/>
      <c r="Y497" s="2"/>
    </row>
    <row r="498">
      <c r="A498" s="25"/>
      <c r="B498" s="25"/>
      <c r="C498" s="25"/>
      <c r="D498" s="26"/>
      <c r="E498" s="26"/>
      <c r="F498" s="25"/>
      <c r="G498" s="25"/>
      <c r="H498" s="25"/>
      <c r="I498" s="26"/>
      <c r="J498" s="26"/>
      <c r="K498" s="2"/>
      <c r="L498" s="2"/>
      <c r="M498" s="2"/>
      <c r="N498" s="2"/>
      <c r="O498" s="2"/>
      <c r="P498" s="2"/>
      <c r="Q498" s="2"/>
      <c r="R498" s="2"/>
      <c r="S498" s="2"/>
      <c r="T498" s="2"/>
      <c r="U498" s="2"/>
      <c r="V498" s="2"/>
      <c r="W498" s="2"/>
      <c r="X498" s="2"/>
      <c r="Y498" s="2"/>
    </row>
    <row r="499">
      <c r="A499" s="25"/>
      <c r="B499" s="25"/>
      <c r="C499" s="25"/>
      <c r="D499" s="26"/>
      <c r="E499" s="26"/>
      <c r="F499" s="25"/>
      <c r="G499" s="25"/>
      <c r="H499" s="25"/>
      <c r="I499" s="26"/>
      <c r="J499" s="26"/>
      <c r="K499" s="2"/>
      <c r="L499" s="2"/>
      <c r="M499" s="2"/>
      <c r="N499" s="2"/>
      <c r="O499" s="2"/>
      <c r="P499" s="2"/>
      <c r="Q499" s="2"/>
      <c r="R499" s="2"/>
      <c r="S499" s="2"/>
      <c r="T499" s="2"/>
      <c r="U499" s="2"/>
      <c r="V499" s="2"/>
      <c r="W499" s="2"/>
      <c r="X499" s="2"/>
      <c r="Y499" s="2"/>
    </row>
    <row r="500">
      <c r="A500" s="25"/>
      <c r="B500" s="25"/>
      <c r="C500" s="25"/>
      <c r="D500" s="26"/>
      <c r="E500" s="26"/>
      <c r="F500" s="25"/>
      <c r="G500" s="25"/>
      <c r="H500" s="25"/>
      <c r="I500" s="26"/>
      <c r="J500" s="26"/>
      <c r="K500" s="2"/>
      <c r="L500" s="2"/>
      <c r="M500" s="2"/>
      <c r="N500" s="2"/>
      <c r="O500" s="2"/>
      <c r="P500" s="2"/>
      <c r="Q500" s="2"/>
      <c r="R500" s="2"/>
      <c r="S500" s="2"/>
      <c r="T500" s="2"/>
      <c r="U500" s="2"/>
      <c r="V500" s="2"/>
      <c r="W500" s="2"/>
      <c r="X500" s="2"/>
      <c r="Y500" s="2"/>
    </row>
    <row r="501">
      <c r="A501" s="25"/>
      <c r="B501" s="25"/>
      <c r="C501" s="25"/>
      <c r="D501" s="26"/>
      <c r="E501" s="26"/>
      <c r="F501" s="25"/>
      <c r="G501" s="25"/>
      <c r="H501" s="25"/>
      <c r="I501" s="26"/>
      <c r="J501" s="26"/>
      <c r="K501" s="2"/>
      <c r="L501" s="2"/>
      <c r="M501" s="2"/>
      <c r="N501" s="2"/>
      <c r="O501" s="2"/>
      <c r="P501" s="2"/>
      <c r="Q501" s="2"/>
      <c r="R501" s="2"/>
      <c r="S501" s="2"/>
      <c r="T501" s="2"/>
      <c r="U501" s="2"/>
      <c r="V501" s="2"/>
      <c r="W501" s="2"/>
      <c r="X501" s="2"/>
      <c r="Y501" s="2"/>
    </row>
    <row r="502">
      <c r="A502" s="25"/>
      <c r="B502" s="25"/>
      <c r="C502" s="25"/>
      <c r="D502" s="26"/>
      <c r="E502" s="26"/>
      <c r="F502" s="25"/>
      <c r="G502" s="25"/>
      <c r="H502" s="25"/>
      <c r="I502" s="26"/>
      <c r="J502" s="26"/>
      <c r="K502" s="2"/>
      <c r="L502" s="2"/>
      <c r="M502" s="2"/>
      <c r="N502" s="2"/>
      <c r="O502" s="2"/>
      <c r="P502" s="2"/>
      <c r="Q502" s="2"/>
      <c r="R502" s="2"/>
      <c r="S502" s="2"/>
      <c r="T502" s="2"/>
      <c r="U502" s="2"/>
      <c r="V502" s="2"/>
      <c r="W502" s="2"/>
      <c r="X502" s="2"/>
      <c r="Y502" s="2"/>
    </row>
    <row r="503">
      <c r="A503" s="25"/>
      <c r="B503" s="25"/>
      <c r="C503" s="25"/>
      <c r="D503" s="26"/>
      <c r="E503" s="26"/>
      <c r="F503" s="25"/>
      <c r="G503" s="25"/>
      <c r="H503" s="25"/>
      <c r="I503" s="26"/>
      <c r="J503" s="26"/>
      <c r="K503" s="2"/>
      <c r="L503" s="2"/>
      <c r="M503" s="2"/>
      <c r="N503" s="2"/>
      <c r="O503" s="2"/>
      <c r="P503" s="2"/>
      <c r="Q503" s="2"/>
      <c r="R503" s="2"/>
      <c r="S503" s="2"/>
      <c r="T503" s="2"/>
      <c r="U503" s="2"/>
      <c r="V503" s="2"/>
      <c r="W503" s="2"/>
      <c r="X503" s="2"/>
      <c r="Y503" s="2"/>
    </row>
    <row r="504">
      <c r="A504" s="25"/>
      <c r="B504" s="25"/>
      <c r="C504" s="25"/>
      <c r="D504" s="26"/>
      <c r="E504" s="26"/>
      <c r="F504" s="25"/>
      <c r="G504" s="25"/>
      <c r="H504" s="25"/>
      <c r="I504" s="26"/>
      <c r="J504" s="26"/>
      <c r="K504" s="2"/>
      <c r="L504" s="2"/>
      <c r="M504" s="2"/>
      <c r="N504" s="2"/>
      <c r="O504" s="2"/>
      <c r="P504" s="2"/>
      <c r="Q504" s="2"/>
      <c r="R504" s="2"/>
      <c r="S504" s="2"/>
      <c r="T504" s="2"/>
      <c r="U504" s="2"/>
      <c r="V504" s="2"/>
      <c r="W504" s="2"/>
      <c r="X504" s="2"/>
      <c r="Y504" s="2"/>
    </row>
    <row r="505">
      <c r="A505" s="25"/>
      <c r="B505" s="25"/>
      <c r="C505" s="25"/>
      <c r="D505" s="26"/>
      <c r="E505" s="26"/>
      <c r="F505" s="25"/>
      <c r="G505" s="25"/>
      <c r="H505" s="25"/>
      <c r="I505" s="26"/>
      <c r="J505" s="26"/>
      <c r="K505" s="2"/>
      <c r="L505" s="2"/>
      <c r="M505" s="2"/>
      <c r="N505" s="2"/>
      <c r="O505" s="2"/>
      <c r="P505" s="2"/>
      <c r="Q505" s="2"/>
      <c r="R505" s="2"/>
      <c r="S505" s="2"/>
      <c r="T505" s="2"/>
      <c r="U505" s="2"/>
      <c r="V505" s="2"/>
      <c r="W505" s="2"/>
      <c r="X505" s="2"/>
      <c r="Y505" s="2"/>
    </row>
    <row r="506">
      <c r="A506" s="25"/>
      <c r="B506" s="25"/>
      <c r="C506" s="25"/>
      <c r="D506" s="26"/>
      <c r="E506" s="26"/>
      <c r="F506" s="25"/>
      <c r="G506" s="25"/>
      <c r="H506" s="25"/>
      <c r="I506" s="26"/>
      <c r="J506" s="26"/>
      <c r="K506" s="2"/>
      <c r="L506" s="2"/>
      <c r="M506" s="2"/>
      <c r="N506" s="2"/>
      <c r="O506" s="2"/>
      <c r="P506" s="2"/>
      <c r="Q506" s="2"/>
      <c r="R506" s="2"/>
      <c r="S506" s="2"/>
      <c r="T506" s="2"/>
      <c r="U506" s="2"/>
      <c r="V506" s="2"/>
      <c r="W506" s="2"/>
      <c r="X506" s="2"/>
      <c r="Y506" s="2"/>
    </row>
    <row r="507">
      <c r="A507" s="25"/>
      <c r="B507" s="25"/>
      <c r="C507" s="25"/>
      <c r="D507" s="26"/>
      <c r="E507" s="26"/>
      <c r="F507" s="25"/>
      <c r="G507" s="25"/>
      <c r="H507" s="25"/>
      <c r="I507" s="26"/>
      <c r="J507" s="26"/>
      <c r="K507" s="2"/>
      <c r="L507" s="2"/>
      <c r="M507" s="2"/>
      <c r="N507" s="2"/>
      <c r="O507" s="2"/>
      <c r="P507" s="2"/>
      <c r="Q507" s="2"/>
      <c r="R507" s="2"/>
      <c r="S507" s="2"/>
      <c r="T507" s="2"/>
      <c r="U507" s="2"/>
      <c r="V507" s="2"/>
      <c r="W507" s="2"/>
      <c r="X507" s="2"/>
      <c r="Y507" s="2"/>
    </row>
    <row r="508">
      <c r="A508" s="25"/>
      <c r="B508" s="25"/>
      <c r="C508" s="25"/>
      <c r="D508" s="26"/>
      <c r="E508" s="26"/>
      <c r="F508" s="25"/>
      <c r="G508" s="25"/>
      <c r="H508" s="25"/>
      <c r="I508" s="26"/>
      <c r="J508" s="26"/>
      <c r="K508" s="2"/>
      <c r="L508" s="2"/>
      <c r="M508" s="2"/>
      <c r="N508" s="2"/>
      <c r="O508" s="2"/>
      <c r="P508" s="2"/>
      <c r="Q508" s="2"/>
      <c r="R508" s="2"/>
      <c r="S508" s="2"/>
      <c r="T508" s="2"/>
      <c r="U508" s="2"/>
      <c r="V508" s="2"/>
      <c r="W508" s="2"/>
      <c r="X508" s="2"/>
      <c r="Y508" s="2"/>
    </row>
    <row r="509">
      <c r="A509" s="25"/>
      <c r="B509" s="25"/>
      <c r="C509" s="25"/>
      <c r="D509" s="26"/>
      <c r="E509" s="26"/>
      <c r="F509" s="25"/>
      <c r="G509" s="25"/>
      <c r="H509" s="25"/>
      <c r="I509" s="26"/>
      <c r="J509" s="26"/>
      <c r="K509" s="2"/>
      <c r="L509" s="2"/>
      <c r="M509" s="2"/>
      <c r="N509" s="2"/>
      <c r="O509" s="2"/>
      <c r="P509" s="2"/>
      <c r="Q509" s="2"/>
      <c r="R509" s="2"/>
      <c r="S509" s="2"/>
      <c r="T509" s="2"/>
      <c r="U509" s="2"/>
      <c r="V509" s="2"/>
      <c r="W509" s="2"/>
      <c r="X509" s="2"/>
      <c r="Y509" s="2"/>
    </row>
    <row r="510">
      <c r="A510" s="25"/>
      <c r="B510" s="25"/>
      <c r="C510" s="25"/>
      <c r="D510" s="26"/>
      <c r="E510" s="26"/>
      <c r="F510" s="25"/>
      <c r="G510" s="25"/>
      <c r="H510" s="25"/>
      <c r="I510" s="26"/>
      <c r="J510" s="26"/>
      <c r="K510" s="2"/>
      <c r="L510" s="2"/>
      <c r="M510" s="2"/>
      <c r="N510" s="2"/>
      <c r="O510" s="2"/>
      <c r="P510" s="2"/>
      <c r="Q510" s="2"/>
      <c r="R510" s="2"/>
      <c r="S510" s="2"/>
      <c r="T510" s="2"/>
      <c r="U510" s="2"/>
      <c r="V510" s="2"/>
      <c r="W510" s="2"/>
      <c r="X510" s="2"/>
      <c r="Y510" s="2"/>
    </row>
    <row r="511">
      <c r="A511" s="25"/>
      <c r="B511" s="25"/>
      <c r="C511" s="25"/>
      <c r="D511" s="26"/>
      <c r="E511" s="26"/>
      <c r="F511" s="25"/>
      <c r="G511" s="25"/>
      <c r="H511" s="25"/>
      <c r="I511" s="26"/>
      <c r="J511" s="26"/>
      <c r="K511" s="2"/>
      <c r="L511" s="2"/>
      <c r="M511" s="2"/>
      <c r="N511" s="2"/>
      <c r="O511" s="2"/>
      <c r="P511" s="2"/>
      <c r="Q511" s="2"/>
      <c r="R511" s="2"/>
      <c r="S511" s="2"/>
      <c r="T511" s="2"/>
      <c r="U511" s="2"/>
      <c r="V511" s="2"/>
      <c r="W511" s="2"/>
      <c r="X511" s="2"/>
      <c r="Y511" s="2"/>
    </row>
    <row r="512">
      <c r="A512" s="25"/>
      <c r="B512" s="25"/>
      <c r="C512" s="25"/>
      <c r="D512" s="26"/>
      <c r="E512" s="26"/>
      <c r="F512" s="25"/>
      <c r="G512" s="25"/>
      <c r="H512" s="25"/>
      <c r="I512" s="26"/>
      <c r="J512" s="26"/>
      <c r="K512" s="2"/>
      <c r="L512" s="2"/>
      <c r="M512" s="2"/>
      <c r="N512" s="2"/>
      <c r="O512" s="2"/>
      <c r="P512" s="2"/>
      <c r="Q512" s="2"/>
      <c r="R512" s="2"/>
      <c r="S512" s="2"/>
      <c r="T512" s="2"/>
      <c r="U512" s="2"/>
      <c r="V512" s="2"/>
      <c r="W512" s="2"/>
      <c r="X512" s="2"/>
      <c r="Y512" s="2"/>
    </row>
    <row r="513">
      <c r="A513" s="25"/>
      <c r="B513" s="25"/>
      <c r="C513" s="25"/>
      <c r="D513" s="26"/>
      <c r="E513" s="26"/>
      <c r="F513" s="25"/>
      <c r="G513" s="25"/>
      <c r="H513" s="25"/>
      <c r="I513" s="26"/>
      <c r="J513" s="26"/>
      <c r="K513" s="2"/>
      <c r="L513" s="2"/>
      <c r="M513" s="2"/>
      <c r="N513" s="2"/>
      <c r="O513" s="2"/>
      <c r="P513" s="2"/>
      <c r="Q513" s="2"/>
      <c r="R513" s="2"/>
      <c r="S513" s="2"/>
      <c r="T513" s="2"/>
      <c r="U513" s="2"/>
      <c r="V513" s="2"/>
      <c r="W513" s="2"/>
      <c r="X513" s="2"/>
      <c r="Y513" s="2"/>
    </row>
    <row r="514">
      <c r="A514" s="25"/>
      <c r="B514" s="25"/>
      <c r="C514" s="25"/>
      <c r="D514" s="26"/>
      <c r="E514" s="26"/>
      <c r="F514" s="25"/>
      <c r="G514" s="25"/>
      <c r="H514" s="25"/>
      <c r="I514" s="26"/>
      <c r="J514" s="26"/>
      <c r="K514" s="2"/>
      <c r="L514" s="2"/>
      <c r="M514" s="2"/>
      <c r="N514" s="2"/>
      <c r="O514" s="2"/>
      <c r="P514" s="2"/>
      <c r="Q514" s="2"/>
      <c r="R514" s="2"/>
      <c r="S514" s="2"/>
      <c r="T514" s="2"/>
      <c r="U514" s="2"/>
      <c r="V514" s="2"/>
      <c r="W514" s="2"/>
      <c r="X514" s="2"/>
      <c r="Y514" s="2"/>
    </row>
    <row r="515">
      <c r="A515" s="25"/>
      <c r="B515" s="25"/>
      <c r="C515" s="25"/>
      <c r="D515" s="26"/>
      <c r="E515" s="26"/>
      <c r="F515" s="25"/>
      <c r="G515" s="25"/>
      <c r="H515" s="25"/>
      <c r="I515" s="26"/>
      <c r="J515" s="26"/>
      <c r="K515" s="2"/>
      <c r="L515" s="2"/>
      <c r="M515" s="2"/>
      <c r="N515" s="2"/>
      <c r="O515" s="2"/>
      <c r="P515" s="2"/>
      <c r="Q515" s="2"/>
      <c r="R515" s="2"/>
      <c r="S515" s="2"/>
      <c r="T515" s="2"/>
      <c r="U515" s="2"/>
      <c r="V515" s="2"/>
      <c r="W515" s="2"/>
      <c r="X515" s="2"/>
      <c r="Y515" s="2"/>
    </row>
    <row r="516">
      <c r="A516" s="25"/>
      <c r="B516" s="25"/>
      <c r="C516" s="25"/>
      <c r="D516" s="26"/>
      <c r="E516" s="26"/>
      <c r="F516" s="25"/>
      <c r="G516" s="25"/>
      <c r="H516" s="25"/>
      <c r="I516" s="26"/>
      <c r="J516" s="26"/>
      <c r="K516" s="2"/>
      <c r="L516" s="2"/>
      <c r="M516" s="2"/>
      <c r="N516" s="2"/>
      <c r="O516" s="2"/>
      <c r="P516" s="2"/>
      <c r="Q516" s="2"/>
      <c r="R516" s="2"/>
      <c r="S516" s="2"/>
      <c r="T516" s="2"/>
      <c r="U516" s="2"/>
      <c r="V516" s="2"/>
      <c r="W516" s="2"/>
      <c r="X516" s="2"/>
      <c r="Y516" s="2"/>
    </row>
    <row r="517">
      <c r="A517" s="25"/>
      <c r="B517" s="25"/>
      <c r="C517" s="25"/>
      <c r="D517" s="26"/>
      <c r="E517" s="26"/>
      <c r="F517" s="25"/>
      <c r="G517" s="25"/>
      <c r="H517" s="25"/>
      <c r="I517" s="26"/>
      <c r="J517" s="26"/>
      <c r="K517" s="2"/>
      <c r="L517" s="2"/>
      <c r="M517" s="2"/>
      <c r="N517" s="2"/>
      <c r="O517" s="2"/>
      <c r="P517" s="2"/>
      <c r="Q517" s="2"/>
      <c r="R517" s="2"/>
      <c r="S517" s="2"/>
      <c r="T517" s="2"/>
      <c r="U517" s="2"/>
      <c r="V517" s="2"/>
      <c r="W517" s="2"/>
      <c r="X517" s="2"/>
      <c r="Y517" s="2"/>
    </row>
    <row r="518">
      <c r="A518" s="25"/>
      <c r="B518" s="25"/>
      <c r="C518" s="25"/>
      <c r="D518" s="26"/>
      <c r="E518" s="26"/>
      <c r="F518" s="25"/>
      <c r="G518" s="25"/>
      <c r="H518" s="25"/>
      <c r="I518" s="26"/>
      <c r="J518" s="26"/>
      <c r="K518" s="2"/>
      <c r="L518" s="2"/>
      <c r="M518" s="2"/>
      <c r="N518" s="2"/>
      <c r="O518" s="2"/>
      <c r="P518" s="2"/>
      <c r="Q518" s="2"/>
      <c r="R518" s="2"/>
      <c r="S518" s="2"/>
      <c r="T518" s="2"/>
      <c r="U518" s="2"/>
      <c r="V518" s="2"/>
      <c r="W518" s="2"/>
      <c r="X518" s="2"/>
      <c r="Y518" s="2"/>
    </row>
    <row r="519">
      <c r="A519" s="25"/>
      <c r="B519" s="25"/>
      <c r="C519" s="25"/>
      <c r="D519" s="26"/>
      <c r="E519" s="26"/>
      <c r="F519" s="25"/>
      <c r="G519" s="25"/>
      <c r="H519" s="25"/>
      <c r="I519" s="26"/>
      <c r="J519" s="26"/>
      <c r="K519" s="2"/>
      <c r="L519" s="2"/>
      <c r="M519" s="2"/>
      <c r="N519" s="2"/>
      <c r="O519" s="2"/>
      <c r="P519" s="2"/>
      <c r="Q519" s="2"/>
      <c r="R519" s="2"/>
      <c r="S519" s="2"/>
      <c r="T519" s="2"/>
      <c r="U519" s="2"/>
      <c r="V519" s="2"/>
      <c r="W519" s="2"/>
      <c r="X519" s="2"/>
      <c r="Y519" s="2"/>
    </row>
    <row r="520">
      <c r="A520" s="25"/>
      <c r="B520" s="25"/>
      <c r="C520" s="25"/>
      <c r="D520" s="26"/>
      <c r="E520" s="26"/>
      <c r="F520" s="25"/>
      <c r="G520" s="25"/>
      <c r="H520" s="25"/>
      <c r="I520" s="26"/>
      <c r="J520" s="26"/>
      <c r="K520" s="2"/>
      <c r="L520" s="2"/>
      <c r="M520" s="2"/>
      <c r="N520" s="2"/>
      <c r="O520" s="2"/>
      <c r="P520" s="2"/>
      <c r="Q520" s="2"/>
      <c r="R520" s="2"/>
      <c r="S520" s="2"/>
      <c r="T520" s="2"/>
      <c r="U520" s="2"/>
      <c r="V520" s="2"/>
      <c r="W520" s="2"/>
      <c r="X520" s="2"/>
      <c r="Y520" s="2"/>
    </row>
    <row r="521">
      <c r="A521" s="25"/>
      <c r="B521" s="25"/>
      <c r="C521" s="25"/>
      <c r="D521" s="26"/>
      <c r="E521" s="26"/>
      <c r="F521" s="25"/>
      <c r="G521" s="25"/>
      <c r="H521" s="25"/>
      <c r="I521" s="26"/>
      <c r="J521" s="26"/>
      <c r="K521" s="2"/>
      <c r="L521" s="2"/>
      <c r="M521" s="2"/>
      <c r="N521" s="2"/>
      <c r="O521" s="2"/>
      <c r="P521" s="2"/>
      <c r="Q521" s="2"/>
      <c r="R521" s="2"/>
      <c r="S521" s="2"/>
      <c r="T521" s="2"/>
      <c r="U521" s="2"/>
      <c r="V521" s="2"/>
      <c r="W521" s="2"/>
      <c r="X521" s="2"/>
      <c r="Y521" s="2"/>
    </row>
    <row r="522">
      <c r="A522" s="25"/>
      <c r="B522" s="25"/>
      <c r="C522" s="25"/>
      <c r="D522" s="26"/>
      <c r="E522" s="26"/>
      <c r="F522" s="25"/>
      <c r="G522" s="25"/>
      <c r="H522" s="25"/>
      <c r="I522" s="26"/>
      <c r="J522" s="26"/>
      <c r="K522" s="2"/>
      <c r="L522" s="2"/>
      <c r="M522" s="2"/>
      <c r="N522" s="2"/>
      <c r="O522" s="2"/>
      <c r="P522" s="2"/>
      <c r="Q522" s="2"/>
      <c r="R522" s="2"/>
      <c r="S522" s="2"/>
      <c r="T522" s="2"/>
      <c r="U522" s="2"/>
      <c r="V522" s="2"/>
      <c r="W522" s="2"/>
      <c r="X522" s="2"/>
      <c r="Y522" s="2"/>
    </row>
    <row r="523">
      <c r="A523" s="25"/>
      <c r="B523" s="25"/>
      <c r="C523" s="25"/>
      <c r="D523" s="26"/>
      <c r="E523" s="26"/>
      <c r="F523" s="25"/>
      <c r="G523" s="25"/>
      <c r="H523" s="25"/>
      <c r="I523" s="26"/>
      <c r="J523" s="26"/>
      <c r="K523" s="2"/>
      <c r="L523" s="2"/>
      <c r="M523" s="2"/>
      <c r="N523" s="2"/>
      <c r="O523" s="2"/>
      <c r="P523" s="2"/>
      <c r="Q523" s="2"/>
      <c r="R523" s="2"/>
      <c r="S523" s="2"/>
      <c r="T523" s="2"/>
      <c r="U523" s="2"/>
      <c r="V523" s="2"/>
      <c r="W523" s="2"/>
      <c r="X523" s="2"/>
      <c r="Y523" s="2"/>
    </row>
    <row r="524">
      <c r="A524" s="25"/>
      <c r="B524" s="25"/>
      <c r="C524" s="25"/>
      <c r="D524" s="26"/>
      <c r="E524" s="26"/>
      <c r="F524" s="25"/>
      <c r="G524" s="25"/>
      <c r="H524" s="25"/>
      <c r="I524" s="26"/>
      <c r="J524" s="26"/>
      <c r="K524" s="2"/>
      <c r="L524" s="2"/>
      <c r="M524" s="2"/>
      <c r="N524" s="2"/>
      <c r="O524" s="2"/>
      <c r="P524" s="2"/>
      <c r="Q524" s="2"/>
      <c r="R524" s="2"/>
      <c r="S524" s="2"/>
      <c r="T524" s="2"/>
      <c r="U524" s="2"/>
      <c r="V524" s="2"/>
      <c r="W524" s="2"/>
      <c r="X524" s="2"/>
      <c r="Y524" s="2"/>
    </row>
    <row r="525">
      <c r="A525" s="25"/>
      <c r="B525" s="25"/>
      <c r="C525" s="25"/>
      <c r="D525" s="26"/>
      <c r="E525" s="26"/>
      <c r="F525" s="25"/>
      <c r="G525" s="25"/>
      <c r="H525" s="25"/>
      <c r="I525" s="26"/>
      <c r="J525" s="26"/>
      <c r="K525" s="2"/>
      <c r="L525" s="2"/>
      <c r="M525" s="2"/>
      <c r="N525" s="2"/>
      <c r="O525" s="2"/>
      <c r="P525" s="2"/>
      <c r="Q525" s="2"/>
      <c r="R525" s="2"/>
      <c r="S525" s="2"/>
      <c r="T525" s="2"/>
      <c r="U525" s="2"/>
      <c r="V525" s="2"/>
      <c r="W525" s="2"/>
      <c r="X525" s="2"/>
      <c r="Y525" s="2"/>
    </row>
    <row r="526">
      <c r="A526" s="25"/>
      <c r="B526" s="25"/>
      <c r="C526" s="25"/>
      <c r="D526" s="26"/>
      <c r="E526" s="26"/>
      <c r="F526" s="25"/>
      <c r="G526" s="25"/>
      <c r="H526" s="25"/>
      <c r="I526" s="26"/>
      <c r="J526" s="26"/>
      <c r="K526" s="2"/>
      <c r="L526" s="2"/>
      <c r="M526" s="2"/>
      <c r="N526" s="2"/>
      <c r="O526" s="2"/>
      <c r="P526" s="2"/>
      <c r="Q526" s="2"/>
      <c r="R526" s="2"/>
      <c r="S526" s="2"/>
      <c r="T526" s="2"/>
      <c r="U526" s="2"/>
      <c r="V526" s="2"/>
      <c r="W526" s="2"/>
      <c r="X526" s="2"/>
      <c r="Y526" s="2"/>
    </row>
    <row r="527">
      <c r="A527" s="25"/>
      <c r="B527" s="25"/>
      <c r="C527" s="25"/>
      <c r="D527" s="26"/>
      <c r="E527" s="26"/>
      <c r="F527" s="25"/>
      <c r="G527" s="25"/>
      <c r="H527" s="25"/>
      <c r="I527" s="26"/>
      <c r="J527" s="26"/>
      <c r="K527" s="2"/>
      <c r="L527" s="2"/>
      <c r="M527" s="2"/>
      <c r="N527" s="2"/>
      <c r="O527" s="2"/>
      <c r="P527" s="2"/>
      <c r="Q527" s="2"/>
      <c r="R527" s="2"/>
      <c r="S527" s="2"/>
      <c r="T527" s="2"/>
      <c r="U527" s="2"/>
      <c r="V527" s="2"/>
      <c r="W527" s="2"/>
      <c r="X527" s="2"/>
      <c r="Y527" s="2"/>
    </row>
    <row r="528">
      <c r="A528" s="25"/>
      <c r="B528" s="25"/>
      <c r="C528" s="25"/>
      <c r="D528" s="26"/>
      <c r="E528" s="26"/>
      <c r="F528" s="25"/>
      <c r="G528" s="25"/>
      <c r="H528" s="25"/>
      <c r="I528" s="26"/>
      <c r="J528" s="26"/>
      <c r="K528" s="2"/>
      <c r="L528" s="2"/>
      <c r="M528" s="2"/>
      <c r="N528" s="2"/>
      <c r="O528" s="2"/>
      <c r="P528" s="2"/>
      <c r="Q528" s="2"/>
      <c r="R528" s="2"/>
      <c r="S528" s="2"/>
      <c r="T528" s="2"/>
      <c r="U528" s="2"/>
      <c r="V528" s="2"/>
      <c r="W528" s="2"/>
      <c r="X528" s="2"/>
      <c r="Y528" s="2"/>
    </row>
    <row r="529">
      <c r="A529" s="25"/>
      <c r="B529" s="25"/>
      <c r="C529" s="25"/>
      <c r="D529" s="26"/>
      <c r="E529" s="26"/>
      <c r="F529" s="25"/>
      <c r="G529" s="25"/>
      <c r="H529" s="25"/>
      <c r="I529" s="26"/>
      <c r="J529" s="26"/>
      <c r="K529" s="2"/>
      <c r="L529" s="2"/>
      <c r="M529" s="2"/>
      <c r="N529" s="2"/>
      <c r="O529" s="2"/>
      <c r="P529" s="2"/>
      <c r="Q529" s="2"/>
      <c r="R529" s="2"/>
      <c r="S529" s="2"/>
      <c r="T529" s="2"/>
      <c r="U529" s="2"/>
      <c r="V529" s="2"/>
      <c r="W529" s="2"/>
      <c r="X529" s="2"/>
      <c r="Y529" s="2"/>
    </row>
    <row r="530">
      <c r="A530" s="25"/>
      <c r="B530" s="25"/>
      <c r="C530" s="25"/>
      <c r="D530" s="26"/>
      <c r="E530" s="26"/>
      <c r="F530" s="25"/>
      <c r="G530" s="25"/>
      <c r="H530" s="25"/>
      <c r="I530" s="26"/>
      <c r="J530" s="26"/>
      <c r="K530" s="2"/>
      <c r="L530" s="2"/>
      <c r="M530" s="2"/>
      <c r="N530" s="2"/>
      <c r="O530" s="2"/>
      <c r="P530" s="2"/>
      <c r="Q530" s="2"/>
      <c r="R530" s="2"/>
      <c r="S530" s="2"/>
      <c r="T530" s="2"/>
      <c r="U530" s="2"/>
      <c r="V530" s="2"/>
      <c r="W530" s="2"/>
      <c r="X530" s="2"/>
      <c r="Y530" s="2"/>
    </row>
    <row r="531">
      <c r="A531" s="25"/>
      <c r="B531" s="25"/>
      <c r="C531" s="25"/>
      <c r="D531" s="26"/>
      <c r="E531" s="26"/>
      <c r="F531" s="25"/>
      <c r="G531" s="25"/>
      <c r="H531" s="25"/>
      <c r="I531" s="26"/>
      <c r="J531" s="26"/>
      <c r="K531" s="2"/>
      <c r="L531" s="2"/>
      <c r="M531" s="2"/>
      <c r="N531" s="2"/>
      <c r="O531" s="2"/>
      <c r="P531" s="2"/>
      <c r="Q531" s="2"/>
      <c r="R531" s="2"/>
      <c r="S531" s="2"/>
      <c r="T531" s="2"/>
      <c r="U531" s="2"/>
      <c r="V531" s="2"/>
      <c r="W531" s="2"/>
      <c r="X531" s="2"/>
      <c r="Y531" s="2"/>
    </row>
    <row r="532">
      <c r="A532" s="25"/>
      <c r="B532" s="25"/>
      <c r="C532" s="25"/>
      <c r="D532" s="26"/>
      <c r="E532" s="26"/>
      <c r="F532" s="25"/>
      <c r="G532" s="25"/>
      <c r="H532" s="25"/>
      <c r="I532" s="26"/>
      <c r="J532" s="26"/>
      <c r="K532" s="2"/>
      <c r="L532" s="2"/>
      <c r="M532" s="2"/>
      <c r="N532" s="2"/>
      <c r="O532" s="2"/>
      <c r="P532" s="2"/>
      <c r="Q532" s="2"/>
      <c r="R532" s="2"/>
      <c r="S532" s="2"/>
      <c r="T532" s="2"/>
      <c r="U532" s="2"/>
      <c r="V532" s="2"/>
      <c r="W532" s="2"/>
      <c r="X532" s="2"/>
      <c r="Y532" s="2"/>
    </row>
    <row r="533">
      <c r="A533" s="25"/>
      <c r="B533" s="25"/>
      <c r="C533" s="25"/>
      <c r="D533" s="26"/>
      <c r="E533" s="26"/>
      <c r="F533" s="25"/>
      <c r="G533" s="25"/>
      <c r="H533" s="25"/>
      <c r="I533" s="26"/>
      <c r="J533" s="26"/>
      <c r="K533" s="2"/>
      <c r="L533" s="2"/>
      <c r="M533" s="2"/>
      <c r="N533" s="2"/>
      <c r="O533" s="2"/>
      <c r="P533" s="2"/>
      <c r="Q533" s="2"/>
      <c r="R533" s="2"/>
      <c r="S533" s="2"/>
      <c r="T533" s="2"/>
      <c r="U533" s="2"/>
      <c r="V533" s="2"/>
      <c r="W533" s="2"/>
      <c r="X533" s="2"/>
      <c r="Y533" s="2"/>
    </row>
    <row r="534">
      <c r="A534" s="25"/>
      <c r="B534" s="25"/>
      <c r="C534" s="25"/>
      <c r="D534" s="26"/>
      <c r="E534" s="26"/>
      <c r="F534" s="25"/>
      <c r="G534" s="25"/>
      <c r="H534" s="25"/>
      <c r="I534" s="26"/>
      <c r="J534" s="26"/>
      <c r="K534" s="2"/>
      <c r="L534" s="2"/>
      <c r="M534" s="2"/>
      <c r="N534" s="2"/>
      <c r="O534" s="2"/>
      <c r="P534" s="2"/>
      <c r="Q534" s="2"/>
      <c r="R534" s="2"/>
      <c r="S534" s="2"/>
      <c r="T534" s="2"/>
      <c r="U534" s="2"/>
      <c r="V534" s="2"/>
      <c r="W534" s="2"/>
      <c r="X534" s="2"/>
      <c r="Y534" s="2"/>
    </row>
    <row r="535">
      <c r="A535" s="25"/>
      <c r="B535" s="25"/>
      <c r="C535" s="25"/>
      <c r="D535" s="26"/>
      <c r="E535" s="26"/>
      <c r="F535" s="25"/>
      <c r="G535" s="25"/>
      <c r="H535" s="25"/>
      <c r="I535" s="26"/>
      <c r="J535" s="26"/>
      <c r="K535" s="2"/>
      <c r="L535" s="2"/>
      <c r="M535" s="2"/>
      <c r="N535" s="2"/>
      <c r="O535" s="2"/>
      <c r="P535" s="2"/>
      <c r="Q535" s="2"/>
      <c r="R535" s="2"/>
      <c r="S535" s="2"/>
      <c r="T535" s="2"/>
      <c r="U535" s="2"/>
      <c r="V535" s="2"/>
      <c r="W535" s="2"/>
      <c r="X535" s="2"/>
      <c r="Y535" s="2"/>
    </row>
    <row r="536">
      <c r="A536" s="25"/>
      <c r="B536" s="25"/>
      <c r="C536" s="25"/>
      <c r="D536" s="26"/>
      <c r="E536" s="26"/>
      <c r="F536" s="25"/>
      <c r="G536" s="25"/>
      <c r="H536" s="25"/>
      <c r="I536" s="26"/>
      <c r="J536" s="26"/>
      <c r="K536" s="2"/>
      <c r="L536" s="2"/>
      <c r="M536" s="2"/>
      <c r="N536" s="2"/>
      <c r="O536" s="2"/>
      <c r="P536" s="2"/>
      <c r="Q536" s="2"/>
      <c r="R536" s="2"/>
      <c r="S536" s="2"/>
      <c r="T536" s="2"/>
      <c r="U536" s="2"/>
      <c r="V536" s="2"/>
      <c r="W536" s="2"/>
      <c r="X536" s="2"/>
      <c r="Y536" s="2"/>
    </row>
    <row r="537">
      <c r="A537" s="25"/>
      <c r="B537" s="25"/>
      <c r="C537" s="25"/>
      <c r="D537" s="26"/>
      <c r="E537" s="26"/>
      <c r="F537" s="25"/>
      <c r="G537" s="25"/>
      <c r="H537" s="25"/>
      <c r="I537" s="26"/>
      <c r="J537" s="26"/>
      <c r="K537" s="2"/>
      <c r="L537" s="2"/>
      <c r="M537" s="2"/>
      <c r="N537" s="2"/>
      <c r="O537" s="2"/>
      <c r="P537" s="2"/>
      <c r="Q537" s="2"/>
      <c r="R537" s="2"/>
      <c r="S537" s="2"/>
      <c r="T537" s="2"/>
      <c r="U537" s="2"/>
      <c r="V537" s="2"/>
      <c r="W537" s="2"/>
      <c r="X537" s="2"/>
      <c r="Y537" s="2"/>
    </row>
    <row r="538">
      <c r="A538" s="25"/>
      <c r="B538" s="25"/>
      <c r="C538" s="25"/>
      <c r="D538" s="26"/>
      <c r="E538" s="26"/>
      <c r="F538" s="25"/>
      <c r="G538" s="25"/>
      <c r="H538" s="25"/>
      <c r="I538" s="26"/>
      <c r="J538" s="26"/>
      <c r="K538" s="2"/>
      <c r="L538" s="2"/>
      <c r="M538" s="2"/>
      <c r="N538" s="2"/>
      <c r="O538" s="2"/>
      <c r="P538" s="2"/>
      <c r="Q538" s="2"/>
      <c r="R538" s="2"/>
      <c r="S538" s="2"/>
      <c r="T538" s="2"/>
      <c r="U538" s="2"/>
      <c r="V538" s="2"/>
      <c r="W538" s="2"/>
      <c r="X538" s="2"/>
      <c r="Y538" s="2"/>
    </row>
    <row r="539">
      <c r="A539" s="25"/>
      <c r="B539" s="25"/>
      <c r="C539" s="25"/>
      <c r="D539" s="26"/>
      <c r="E539" s="26"/>
      <c r="F539" s="25"/>
      <c r="G539" s="25"/>
      <c r="H539" s="25"/>
      <c r="I539" s="26"/>
      <c r="J539" s="26"/>
      <c r="K539" s="2"/>
      <c r="L539" s="2"/>
      <c r="M539" s="2"/>
      <c r="N539" s="2"/>
      <c r="O539" s="2"/>
      <c r="P539" s="2"/>
      <c r="Q539" s="2"/>
      <c r="R539" s="2"/>
      <c r="S539" s="2"/>
      <c r="T539" s="2"/>
      <c r="U539" s="2"/>
      <c r="V539" s="2"/>
      <c r="W539" s="2"/>
      <c r="X539" s="2"/>
      <c r="Y539" s="2"/>
    </row>
    <row r="540">
      <c r="A540" s="25"/>
      <c r="B540" s="25"/>
      <c r="C540" s="25"/>
      <c r="D540" s="26"/>
      <c r="E540" s="26"/>
      <c r="F540" s="25"/>
      <c r="G540" s="25"/>
      <c r="H540" s="25"/>
      <c r="I540" s="26"/>
      <c r="J540" s="26"/>
      <c r="K540" s="2"/>
      <c r="L540" s="2"/>
      <c r="M540" s="2"/>
      <c r="N540" s="2"/>
      <c r="O540" s="2"/>
      <c r="P540" s="2"/>
      <c r="Q540" s="2"/>
      <c r="R540" s="2"/>
      <c r="S540" s="2"/>
      <c r="T540" s="2"/>
      <c r="U540" s="2"/>
      <c r="V540" s="2"/>
      <c r="W540" s="2"/>
      <c r="X540" s="2"/>
      <c r="Y540" s="2"/>
    </row>
    <row r="541">
      <c r="A541" s="25"/>
      <c r="B541" s="25"/>
      <c r="C541" s="25"/>
      <c r="D541" s="26"/>
      <c r="E541" s="26"/>
      <c r="F541" s="25"/>
      <c r="G541" s="25"/>
      <c r="H541" s="25"/>
      <c r="I541" s="26"/>
      <c r="J541" s="26"/>
      <c r="K541" s="2"/>
      <c r="L541" s="2"/>
      <c r="M541" s="2"/>
      <c r="N541" s="2"/>
      <c r="O541" s="2"/>
      <c r="P541" s="2"/>
      <c r="Q541" s="2"/>
      <c r="R541" s="2"/>
      <c r="S541" s="2"/>
      <c r="T541" s="2"/>
      <c r="U541" s="2"/>
      <c r="V541" s="2"/>
      <c r="W541" s="2"/>
      <c r="X541" s="2"/>
      <c r="Y541" s="2"/>
    </row>
    <row r="542">
      <c r="A542" s="25"/>
      <c r="B542" s="25"/>
      <c r="C542" s="25"/>
      <c r="D542" s="26"/>
      <c r="E542" s="26"/>
      <c r="F542" s="25"/>
      <c r="G542" s="25"/>
      <c r="H542" s="25"/>
      <c r="I542" s="26"/>
      <c r="J542" s="26"/>
      <c r="K542" s="2"/>
      <c r="L542" s="2"/>
      <c r="M542" s="2"/>
      <c r="N542" s="2"/>
      <c r="O542" s="2"/>
      <c r="P542" s="2"/>
      <c r="Q542" s="2"/>
      <c r="R542" s="2"/>
      <c r="S542" s="2"/>
      <c r="T542" s="2"/>
      <c r="U542" s="2"/>
      <c r="V542" s="2"/>
      <c r="W542" s="2"/>
      <c r="X542" s="2"/>
      <c r="Y542" s="2"/>
    </row>
    <row r="543">
      <c r="A543" s="25"/>
      <c r="B543" s="25"/>
      <c r="C543" s="25"/>
      <c r="D543" s="26"/>
      <c r="E543" s="26"/>
      <c r="F543" s="25"/>
      <c r="G543" s="25"/>
      <c r="H543" s="25"/>
      <c r="I543" s="26"/>
      <c r="J543" s="26"/>
      <c r="K543" s="2"/>
      <c r="L543" s="2"/>
      <c r="M543" s="2"/>
      <c r="N543" s="2"/>
      <c r="O543" s="2"/>
      <c r="P543" s="2"/>
      <c r="Q543" s="2"/>
      <c r="R543" s="2"/>
      <c r="S543" s="2"/>
      <c r="T543" s="2"/>
      <c r="U543" s="2"/>
      <c r="V543" s="2"/>
      <c r="W543" s="2"/>
      <c r="X543" s="2"/>
      <c r="Y543" s="2"/>
    </row>
    <row r="544">
      <c r="A544" s="25"/>
      <c r="B544" s="25"/>
      <c r="C544" s="25"/>
      <c r="D544" s="26"/>
      <c r="E544" s="26"/>
      <c r="F544" s="25"/>
      <c r="G544" s="25"/>
      <c r="H544" s="25"/>
      <c r="I544" s="26"/>
      <c r="J544" s="26"/>
      <c r="K544" s="2"/>
      <c r="L544" s="2"/>
      <c r="M544" s="2"/>
      <c r="N544" s="2"/>
      <c r="O544" s="2"/>
      <c r="P544" s="2"/>
      <c r="Q544" s="2"/>
      <c r="R544" s="2"/>
      <c r="S544" s="2"/>
      <c r="T544" s="2"/>
      <c r="U544" s="2"/>
      <c r="V544" s="2"/>
      <c r="W544" s="2"/>
      <c r="X544" s="2"/>
      <c r="Y544" s="2"/>
    </row>
    <row r="545">
      <c r="A545" s="25"/>
      <c r="B545" s="25"/>
      <c r="C545" s="25"/>
      <c r="D545" s="26"/>
      <c r="E545" s="26"/>
      <c r="F545" s="25"/>
      <c r="G545" s="25"/>
      <c r="H545" s="25"/>
      <c r="I545" s="26"/>
      <c r="J545" s="26"/>
      <c r="K545" s="2"/>
      <c r="L545" s="2"/>
      <c r="M545" s="2"/>
      <c r="N545" s="2"/>
      <c r="O545" s="2"/>
      <c r="P545" s="2"/>
      <c r="Q545" s="2"/>
      <c r="R545" s="2"/>
      <c r="S545" s="2"/>
      <c r="T545" s="2"/>
      <c r="U545" s="2"/>
      <c r="V545" s="2"/>
      <c r="W545" s="2"/>
      <c r="X545" s="2"/>
      <c r="Y545" s="2"/>
    </row>
    <row r="546">
      <c r="A546" s="25"/>
      <c r="B546" s="25"/>
      <c r="C546" s="25"/>
      <c r="D546" s="26"/>
      <c r="E546" s="26"/>
      <c r="F546" s="25"/>
      <c r="G546" s="25"/>
      <c r="H546" s="25"/>
      <c r="I546" s="26"/>
      <c r="J546" s="26"/>
      <c r="K546" s="2"/>
      <c r="L546" s="2"/>
      <c r="M546" s="2"/>
      <c r="N546" s="2"/>
      <c r="O546" s="2"/>
      <c r="P546" s="2"/>
      <c r="Q546" s="2"/>
      <c r="R546" s="2"/>
      <c r="S546" s="2"/>
      <c r="T546" s="2"/>
      <c r="U546" s="2"/>
      <c r="V546" s="2"/>
      <c r="W546" s="2"/>
      <c r="X546" s="2"/>
      <c r="Y546" s="2"/>
    </row>
    <row r="547">
      <c r="A547" s="25"/>
      <c r="B547" s="25"/>
      <c r="C547" s="25"/>
      <c r="D547" s="26"/>
      <c r="E547" s="26"/>
      <c r="F547" s="25"/>
      <c r="G547" s="25"/>
      <c r="H547" s="25"/>
      <c r="I547" s="26"/>
      <c r="J547" s="26"/>
      <c r="K547" s="2"/>
      <c r="L547" s="2"/>
      <c r="M547" s="2"/>
      <c r="N547" s="2"/>
      <c r="O547" s="2"/>
      <c r="P547" s="2"/>
      <c r="Q547" s="2"/>
      <c r="R547" s="2"/>
      <c r="S547" s="2"/>
      <c r="T547" s="2"/>
      <c r="U547" s="2"/>
      <c r="V547" s="2"/>
      <c r="W547" s="2"/>
      <c r="X547" s="2"/>
      <c r="Y547" s="2"/>
    </row>
    <row r="548">
      <c r="A548" s="25"/>
      <c r="B548" s="25"/>
      <c r="C548" s="25"/>
      <c r="D548" s="26"/>
      <c r="E548" s="26"/>
      <c r="F548" s="25"/>
      <c r="G548" s="25"/>
      <c r="H548" s="25"/>
      <c r="I548" s="26"/>
      <c r="J548" s="26"/>
      <c r="K548" s="2"/>
      <c r="L548" s="2"/>
      <c r="M548" s="2"/>
      <c r="N548" s="2"/>
      <c r="O548" s="2"/>
      <c r="P548" s="2"/>
      <c r="Q548" s="2"/>
      <c r="R548" s="2"/>
      <c r="S548" s="2"/>
      <c r="T548" s="2"/>
      <c r="U548" s="2"/>
      <c r="V548" s="2"/>
      <c r="W548" s="2"/>
      <c r="X548" s="2"/>
      <c r="Y548" s="2"/>
    </row>
    <row r="549">
      <c r="A549" s="25"/>
      <c r="B549" s="25"/>
      <c r="C549" s="25"/>
      <c r="D549" s="26"/>
      <c r="E549" s="26"/>
      <c r="F549" s="25"/>
      <c r="G549" s="25"/>
      <c r="H549" s="25"/>
      <c r="I549" s="26"/>
      <c r="J549" s="26"/>
      <c r="K549" s="2"/>
      <c r="L549" s="2"/>
      <c r="M549" s="2"/>
      <c r="N549" s="2"/>
      <c r="O549" s="2"/>
      <c r="P549" s="2"/>
      <c r="Q549" s="2"/>
      <c r="R549" s="2"/>
      <c r="S549" s="2"/>
      <c r="T549" s="2"/>
      <c r="U549" s="2"/>
      <c r="V549" s="2"/>
      <c r="W549" s="2"/>
      <c r="X549" s="2"/>
      <c r="Y549" s="2"/>
    </row>
    <row r="550">
      <c r="A550" s="25"/>
      <c r="B550" s="25"/>
      <c r="C550" s="25"/>
      <c r="D550" s="26"/>
      <c r="E550" s="26"/>
      <c r="F550" s="25"/>
      <c r="G550" s="25"/>
      <c r="H550" s="25"/>
      <c r="I550" s="26"/>
      <c r="J550" s="26"/>
      <c r="K550" s="2"/>
      <c r="L550" s="2"/>
      <c r="M550" s="2"/>
      <c r="N550" s="2"/>
      <c r="O550" s="2"/>
      <c r="P550" s="2"/>
      <c r="Q550" s="2"/>
      <c r="R550" s="2"/>
      <c r="S550" s="2"/>
      <c r="T550" s="2"/>
      <c r="U550" s="2"/>
      <c r="V550" s="2"/>
      <c r="W550" s="2"/>
      <c r="X550" s="2"/>
      <c r="Y550" s="2"/>
    </row>
    <row r="551">
      <c r="A551" s="25"/>
      <c r="B551" s="25"/>
      <c r="C551" s="25"/>
      <c r="D551" s="26"/>
      <c r="E551" s="26"/>
      <c r="F551" s="25"/>
      <c r="G551" s="25"/>
      <c r="H551" s="25"/>
      <c r="I551" s="26"/>
      <c r="J551" s="26"/>
      <c r="K551" s="2"/>
      <c r="L551" s="2"/>
      <c r="M551" s="2"/>
      <c r="N551" s="2"/>
      <c r="O551" s="2"/>
      <c r="P551" s="2"/>
      <c r="Q551" s="2"/>
      <c r="R551" s="2"/>
      <c r="S551" s="2"/>
      <c r="T551" s="2"/>
      <c r="U551" s="2"/>
      <c r="V551" s="2"/>
      <c r="W551" s="2"/>
      <c r="X551" s="2"/>
      <c r="Y551" s="2"/>
    </row>
    <row r="552">
      <c r="A552" s="25"/>
      <c r="B552" s="25"/>
      <c r="C552" s="25"/>
      <c r="D552" s="26"/>
      <c r="E552" s="26"/>
      <c r="F552" s="25"/>
      <c r="G552" s="25"/>
      <c r="H552" s="25"/>
      <c r="I552" s="26"/>
      <c r="J552" s="26"/>
      <c r="K552" s="2"/>
      <c r="L552" s="2"/>
      <c r="M552" s="2"/>
      <c r="N552" s="2"/>
      <c r="O552" s="2"/>
      <c r="P552" s="2"/>
      <c r="Q552" s="2"/>
      <c r="R552" s="2"/>
      <c r="S552" s="2"/>
      <c r="T552" s="2"/>
      <c r="U552" s="2"/>
      <c r="V552" s="2"/>
      <c r="W552" s="2"/>
      <c r="X552" s="2"/>
      <c r="Y552" s="2"/>
    </row>
    <row r="553">
      <c r="A553" s="25"/>
      <c r="B553" s="25"/>
      <c r="C553" s="25"/>
      <c r="D553" s="26"/>
      <c r="E553" s="26"/>
      <c r="F553" s="25"/>
      <c r="G553" s="25"/>
      <c r="H553" s="25"/>
      <c r="I553" s="26"/>
      <c r="J553" s="26"/>
      <c r="K553" s="2"/>
      <c r="L553" s="2"/>
      <c r="M553" s="2"/>
      <c r="N553" s="2"/>
      <c r="O553" s="2"/>
      <c r="P553" s="2"/>
      <c r="Q553" s="2"/>
      <c r="R553" s="2"/>
      <c r="S553" s="2"/>
      <c r="T553" s="2"/>
      <c r="U553" s="2"/>
      <c r="V553" s="2"/>
      <c r="W553" s="2"/>
      <c r="X553" s="2"/>
      <c r="Y553" s="2"/>
    </row>
    <row r="554">
      <c r="A554" s="25"/>
      <c r="B554" s="25"/>
      <c r="C554" s="25"/>
      <c r="D554" s="26"/>
      <c r="E554" s="26"/>
      <c r="F554" s="25"/>
      <c r="G554" s="25"/>
      <c r="H554" s="25"/>
      <c r="I554" s="26"/>
      <c r="J554" s="26"/>
      <c r="K554" s="2"/>
      <c r="L554" s="2"/>
      <c r="M554" s="2"/>
      <c r="N554" s="2"/>
      <c r="O554" s="2"/>
      <c r="P554" s="2"/>
      <c r="Q554" s="2"/>
      <c r="R554" s="2"/>
      <c r="S554" s="2"/>
      <c r="T554" s="2"/>
      <c r="U554" s="2"/>
      <c r="V554" s="2"/>
      <c r="W554" s="2"/>
      <c r="X554" s="2"/>
      <c r="Y554" s="2"/>
    </row>
    <row r="555">
      <c r="A555" s="25"/>
      <c r="B555" s="25"/>
      <c r="C555" s="25"/>
      <c r="D555" s="26"/>
      <c r="E555" s="26"/>
      <c r="F555" s="25"/>
      <c r="G555" s="25"/>
      <c r="H555" s="25"/>
      <c r="I555" s="26"/>
      <c r="J555" s="26"/>
      <c r="K555" s="2"/>
      <c r="L555" s="2"/>
      <c r="M555" s="2"/>
      <c r="N555" s="2"/>
      <c r="O555" s="2"/>
      <c r="P555" s="2"/>
      <c r="Q555" s="2"/>
      <c r="R555" s="2"/>
      <c r="S555" s="2"/>
      <c r="T555" s="2"/>
      <c r="U555" s="2"/>
      <c r="V555" s="2"/>
      <c r="W555" s="2"/>
      <c r="X555" s="2"/>
      <c r="Y555" s="2"/>
    </row>
    <row r="556">
      <c r="A556" s="25"/>
      <c r="B556" s="25"/>
      <c r="C556" s="25"/>
      <c r="D556" s="26"/>
      <c r="E556" s="26"/>
      <c r="F556" s="25"/>
      <c r="G556" s="25"/>
      <c r="H556" s="25"/>
      <c r="I556" s="26"/>
      <c r="J556" s="26"/>
      <c r="K556" s="2"/>
      <c r="L556" s="2"/>
      <c r="M556" s="2"/>
      <c r="N556" s="2"/>
      <c r="O556" s="2"/>
      <c r="P556" s="2"/>
      <c r="Q556" s="2"/>
      <c r="R556" s="2"/>
      <c r="S556" s="2"/>
      <c r="T556" s="2"/>
      <c r="U556" s="2"/>
      <c r="V556" s="2"/>
      <c r="W556" s="2"/>
      <c r="X556" s="2"/>
      <c r="Y556" s="2"/>
    </row>
    <row r="557">
      <c r="A557" s="25"/>
      <c r="B557" s="25"/>
      <c r="C557" s="25"/>
      <c r="D557" s="26"/>
      <c r="E557" s="26"/>
      <c r="F557" s="25"/>
      <c r="G557" s="25"/>
      <c r="H557" s="25"/>
      <c r="I557" s="26"/>
      <c r="J557" s="26"/>
      <c r="K557" s="2"/>
      <c r="L557" s="2"/>
      <c r="M557" s="2"/>
      <c r="N557" s="2"/>
      <c r="O557" s="2"/>
      <c r="P557" s="2"/>
      <c r="Q557" s="2"/>
      <c r="R557" s="2"/>
      <c r="S557" s="2"/>
      <c r="T557" s="2"/>
      <c r="U557" s="2"/>
      <c r="V557" s="2"/>
      <c r="W557" s="2"/>
      <c r="X557" s="2"/>
      <c r="Y557" s="2"/>
    </row>
    <row r="558">
      <c r="A558" s="25"/>
      <c r="B558" s="25"/>
      <c r="C558" s="25"/>
      <c r="D558" s="26"/>
      <c r="E558" s="26"/>
      <c r="F558" s="25"/>
      <c r="G558" s="25"/>
      <c r="H558" s="25"/>
      <c r="I558" s="26"/>
      <c r="J558" s="26"/>
      <c r="K558" s="2"/>
      <c r="L558" s="2"/>
      <c r="M558" s="2"/>
      <c r="N558" s="2"/>
      <c r="O558" s="2"/>
      <c r="P558" s="2"/>
      <c r="Q558" s="2"/>
      <c r="R558" s="2"/>
      <c r="S558" s="2"/>
      <c r="T558" s="2"/>
      <c r="U558" s="2"/>
      <c r="V558" s="2"/>
      <c r="W558" s="2"/>
      <c r="X558" s="2"/>
      <c r="Y558" s="2"/>
    </row>
    <row r="559">
      <c r="A559" s="25"/>
      <c r="B559" s="25"/>
      <c r="C559" s="25"/>
      <c r="D559" s="26"/>
      <c r="E559" s="26"/>
      <c r="F559" s="25"/>
      <c r="G559" s="25"/>
      <c r="H559" s="25"/>
      <c r="I559" s="26"/>
      <c r="J559" s="26"/>
      <c r="K559" s="2"/>
      <c r="L559" s="2"/>
      <c r="M559" s="2"/>
      <c r="N559" s="2"/>
      <c r="O559" s="2"/>
      <c r="P559" s="2"/>
      <c r="Q559" s="2"/>
      <c r="R559" s="2"/>
      <c r="S559" s="2"/>
      <c r="T559" s="2"/>
      <c r="U559" s="2"/>
      <c r="V559" s="2"/>
      <c r="W559" s="2"/>
      <c r="X559" s="2"/>
      <c r="Y559" s="2"/>
    </row>
    <row r="560">
      <c r="A560" s="25"/>
      <c r="B560" s="25"/>
      <c r="C560" s="25"/>
      <c r="D560" s="26"/>
      <c r="E560" s="26"/>
      <c r="F560" s="25"/>
      <c r="G560" s="25"/>
      <c r="H560" s="25"/>
      <c r="I560" s="26"/>
      <c r="J560" s="26"/>
      <c r="K560" s="2"/>
      <c r="L560" s="2"/>
      <c r="M560" s="2"/>
      <c r="N560" s="2"/>
      <c r="O560" s="2"/>
      <c r="P560" s="2"/>
      <c r="Q560" s="2"/>
      <c r="R560" s="2"/>
      <c r="S560" s="2"/>
      <c r="T560" s="2"/>
      <c r="U560" s="2"/>
      <c r="V560" s="2"/>
      <c r="W560" s="2"/>
      <c r="X560" s="2"/>
      <c r="Y560" s="2"/>
    </row>
    <row r="561">
      <c r="A561" s="25"/>
      <c r="B561" s="25"/>
      <c r="C561" s="25"/>
      <c r="D561" s="26"/>
      <c r="E561" s="26"/>
      <c r="F561" s="25"/>
      <c r="G561" s="25"/>
      <c r="H561" s="25"/>
      <c r="I561" s="26"/>
      <c r="J561" s="26"/>
      <c r="K561" s="2"/>
      <c r="L561" s="2"/>
      <c r="M561" s="2"/>
      <c r="N561" s="2"/>
      <c r="O561" s="2"/>
      <c r="P561" s="2"/>
      <c r="Q561" s="2"/>
      <c r="R561" s="2"/>
      <c r="S561" s="2"/>
      <c r="T561" s="2"/>
      <c r="U561" s="2"/>
      <c r="V561" s="2"/>
      <c r="W561" s="2"/>
      <c r="X561" s="2"/>
      <c r="Y561" s="2"/>
    </row>
    <row r="562">
      <c r="A562" s="25"/>
      <c r="B562" s="25"/>
      <c r="C562" s="25"/>
      <c r="D562" s="26"/>
      <c r="E562" s="26"/>
      <c r="F562" s="25"/>
      <c r="G562" s="25"/>
      <c r="H562" s="25"/>
      <c r="I562" s="26"/>
      <c r="J562" s="26"/>
      <c r="K562" s="2"/>
      <c r="L562" s="2"/>
      <c r="M562" s="2"/>
      <c r="N562" s="2"/>
      <c r="O562" s="2"/>
      <c r="P562" s="2"/>
      <c r="Q562" s="2"/>
      <c r="R562" s="2"/>
      <c r="S562" s="2"/>
      <c r="T562" s="2"/>
      <c r="U562" s="2"/>
      <c r="V562" s="2"/>
      <c r="W562" s="2"/>
      <c r="X562" s="2"/>
      <c r="Y562" s="2"/>
    </row>
    <row r="563">
      <c r="A563" s="25"/>
      <c r="B563" s="25"/>
      <c r="C563" s="25"/>
      <c r="D563" s="26"/>
      <c r="E563" s="26"/>
      <c r="F563" s="25"/>
      <c r="G563" s="25"/>
      <c r="H563" s="25"/>
      <c r="I563" s="26"/>
      <c r="J563" s="26"/>
      <c r="K563" s="2"/>
      <c r="L563" s="2"/>
      <c r="M563" s="2"/>
      <c r="N563" s="2"/>
      <c r="O563" s="2"/>
      <c r="P563" s="2"/>
      <c r="Q563" s="2"/>
      <c r="R563" s="2"/>
      <c r="S563" s="2"/>
      <c r="T563" s="2"/>
      <c r="U563" s="2"/>
      <c r="V563" s="2"/>
      <c r="W563" s="2"/>
      <c r="X563" s="2"/>
      <c r="Y563" s="2"/>
    </row>
    <row r="564">
      <c r="A564" s="25"/>
      <c r="B564" s="25"/>
      <c r="C564" s="25"/>
      <c r="D564" s="26"/>
      <c r="E564" s="26"/>
      <c r="F564" s="25"/>
      <c r="G564" s="25"/>
      <c r="H564" s="25"/>
      <c r="I564" s="26"/>
      <c r="J564" s="26"/>
      <c r="K564" s="2"/>
      <c r="L564" s="2"/>
      <c r="M564" s="2"/>
      <c r="N564" s="2"/>
      <c r="O564" s="2"/>
      <c r="P564" s="2"/>
      <c r="Q564" s="2"/>
      <c r="R564" s="2"/>
      <c r="S564" s="2"/>
      <c r="T564" s="2"/>
      <c r="U564" s="2"/>
      <c r="V564" s="2"/>
      <c r="W564" s="2"/>
      <c r="X564" s="2"/>
      <c r="Y564" s="2"/>
    </row>
    <row r="565">
      <c r="A565" s="25"/>
      <c r="B565" s="25"/>
      <c r="C565" s="25"/>
      <c r="D565" s="26"/>
      <c r="E565" s="26"/>
      <c r="F565" s="25"/>
      <c r="G565" s="25"/>
      <c r="H565" s="25"/>
      <c r="I565" s="26"/>
      <c r="J565" s="26"/>
      <c r="K565" s="2"/>
      <c r="L565" s="2"/>
      <c r="M565" s="2"/>
      <c r="N565" s="2"/>
      <c r="O565" s="2"/>
      <c r="P565" s="2"/>
      <c r="Q565" s="2"/>
      <c r="R565" s="2"/>
      <c r="S565" s="2"/>
      <c r="T565" s="2"/>
      <c r="U565" s="2"/>
      <c r="V565" s="2"/>
      <c r="W565" s="2"/>
      <c r="X565" s="2"/>
      <c r="Y565" s="2"/>
    </row>
    <row r="566">
      <c r="A566" s="25"/>
      <c r="B566" s="25"/>
      <c r="C566" s="25"/>
      <c r="D566" s="26"/>
      <c r="E566" s="26"/>
      <c r="F566" s="25"/>
      <c r="G566" s="25"/>
      <c r="H566" s="25"/>
      <c r="I566" s="26"/>
      <c r="J566" s="26"/>
      <c r="K566" s="2"/>
      <c r="L566" s="2"/>
      <c r="M566" s="2"/>
      <c r="N566" s="2"/>
      <c r="O566" s="2"/>
      <c r="P566" s="2"/>
      <c r="Q566" s="2"/>
      <c r="R566" s="2"/>
      <c r="S566" s="2"/>
      <c r="T566" s="2"/>
      <c r="U566" s="2"/>
      <c r="V566" s="2"/>
      <c r="W566" s="2"/>
      <c r="X566" s="2"/>
      <c r="Y566" s="2"/>
    </row>
    <row r="567">
      <c r="A567" s="25"/>
      <c r="B567" s="25"/>
      <c r="C567" s="25"/>
      <c r="D567" s="26"/>
      <c r="E567" s="26"/>
      <c r="F567" s="25"/>
      <c r="G567" s="25"/>
      <c r="H567" s="25"/>
      <c r="I567" s="26"/>
      <c r="J567" s="26"/>
      <c r="K567" s="2"/>
      <c r="L567" s="2"/>
      <c r="M567" s="2"/>
      <c r="N567" s="2"/>
      <c r="O567" s="2"/>
      <c r="P567" s="2"/>
      <c r="Q567" s="2"/>
      <c r="R567" s="2"/>
      <c r="S567" s="2"/>
      <c r="T567" s="2"/>
      <c r="U567" s="2"/>
      <c r="V567" s="2"/>
      <c r="W567" s="2"/>
      <c r="X567" s="2"/>
      <c r="Y567" s="2"/>
    </row>
    <row r="568">
      <c r="A568" s="25"/>
      <c r="B568" s="25"/>
      <c r="C568" s="25"/>
      <c r="D568" s="26"/>
      <c r="E568" s="26"/>
      <c r="F568" s="25"/>
      <c r="G568" s="25"/>
      <c r="H568" s="25"/>
      <c r="I568" s="26"/>
      <c r="J568" s="26"/>
      <c r="K568" s="2"/>
      <c r="L568" s="2"/>
      <c r="M568" s="2"/>
      <c r="N568" s="2"/>
      <c r="O568" s="2"/>
      <c r="P568" s="2"/>
      <c r="Q568" s="2"/>
      <c r="R568" s="2"/>
      <c r="S568" s="2"/>
      <c r="T568" s="2"/>
      <c r="U568" s="2"/>
      <c r="V568" s="2"/>
      <c r="W568" s="2"/>
      <c r="X568" s="2"/>
      <c r="Y568" s="2"/>
    </row>
    <row r="569">
      <c r="A569" s="25"/>
      <c r="B569" s="25"/>
      <c r="C569" s="25"/>
      <c r="D569" s="26"/>
      <c r="E569" s="26"/>
      <c r="F569" s="25"/>
      <c r="G569" s="25"/>
      <c r="H569" s="25"/>
      <c r="I569" s="26"/>
      <c r="J569" s="26"/>
      <c r="K569" s="2"/>
      <c r="L569" s="2"/>
      <c r="M569" s="2"/>
      <c r="N569" s="2"/>
      <c r="O569" s="2"/>
      <c r="P569" s="2"/>
      <c r="Q569" s="2"/>
      <c r="R569" s="2"/>
      <c r="S569" s="2"/>
      <c r="T569" s="2"/>
      <c r="U569" s="2"/>
      <c r="V569" s="2"/>
      <c r="W569" s="2"/>
      <c r="X569" s="2"/>
      <c r="Y569" s="2"/>
    </row>
    <row r="570">
      <c r="A570" s="25"/>
      <c r="B570" s="25"/>
      <c r="C570" s="25"/>
      <c r="D570" s="26"/>
      <c r="E570" s="26"/>
      <c r="F570" s="25"/>
      <c r="G570" s="25"/>
      <c r="H570" s="25"/>
      <c r="I570" s="26"/>
      <c r="J570" s="26"/>
      <c r="K570" s="2"/>
      <c r="L570" s="2"/>
      <c r="M570" s="2"/>
      <c r="N570" s="2"/>
      <c r="O570" s="2"/>
      <c r="P570" s="2"/>
      <c r="Q570" s="2"/>
      <c r="R570" s="2"/>
      <c r="S570" s="2"/>
      <c r="T570" s="2"/>
      <c r="U570" s="2"/>
      <c r="V570" s="2"/>
      <c r="W570" s="2"/>
      <c r="X570" s="2"/>
      <c r="Y570" s="2"/>
    </row>
    <row r="571">
      <c r="A571" s="25"/>
      <c r="B571" s="25"/>
      <c r="C571" s="25"/>
      <c r="D571" s="26"/>
      <c r="E571" s="26"/>
      <c r="F571" s="25"/>
      <c r="G571" s="25"/>
      <c r="H571" s="25"/>
      <c r="I571" s="26"/>
      <c r="J571" s="26"/>
      <c r="K571" s="2"/>
      <c r="L571" s="2"/>
      <c r="M571" s="2"/>
      <c r="N571" s="2"/>
      <c r="O571" s="2"/>
      <c r="P571" s="2"/>
      <c r="Q571" s="2"/>
      <c r="R571" s="2"/>
      <c r="S571" s="2"/>
      <c r="T571" s="2"/>
      <c r="U571" s="2"/>
      <c r="V571" s="2"/>
      <c r="W571" s="2"/>
      <c r="X571" s="2"/>
      <c r="Y571" s="2"/>
    </row>
    <row r="572">
      <c r="A572" s="25"/>
      <c r="B572" s="25"/>
      <c r="C572" s="25"/>
      <c r="D572" s="26"/>
      <c r="E572" s="26"/>
      <c r="F572" s="25"/>
      <c r="G572" s="25"/>
      <c r="H572" s="25"/>
      <c r="I572" s="26"/>
      <c r="J572" s="26"/>
      <c r="K572" s="2"/>
      <c r="L572" s="2"/>
      <c r="M572" s="2"/>
      <c r="N572" s="2"/>
      <c r="O572" s="2"/>
      <c r="P572" s="2"/>
      <c r="Q572" s="2"/>
      <c r="R572" s="2"/>
      <c r="S572" s="2"/>
      <c r="T572" s="2"/>
      <c r="U572" s="2"/>
      <c r="V572" s="2"/>
      <c r="W572" s="2"/>
      <c r="X572" s="2"/>
      <c r="Y572" s="2"/>
    </row>
    <row r="573">
      <c r="A573" s="25"/>
      <c r="B573" s="25"/>
      <c r="C573" s="25"/>
      <c r="D573" s="26"/>
      <c r="E573" s="26"/>
      <c r="F573" s="25"/>
      <c r="G573" s="25"/>
      <c r="H573" s="25"/>
      <c r="I573" s="26"/>
      <c r="J573" s="26"/>
      <c r="K573" s="2"/>
      <c r="L573" s="2"/>
      <c r="M573" s="2"/>
      <c r="N573" s="2"/>
      <c r="O573" s="2"/>
      <c r="P573" s="2"/>
      <c r="Q573" s="2"/>
      <c r="R573" s="2"/>
      <c r="S573" s="2"/>
      <c r="T573" s="2"/>
      <c r="U573" s="2"/>
      <c r="V573" s="2"/>
      <c r="W573" s="2"/>
      <c r="X573" s="2"/>
      <c r="Y573" s="2"/>
    </row>
    <row r="574">
      <c r="A574" s="25"/>
      <c r="B574" s="25"/>
      <c r="C574" s="25"/>
      <c r="D574" s="26"/>
      <c r="E574" s="26"/>
      <c r="F574" s="25"/>
      <c r="G574" s="25"/>
      <c r="H574" s="25"/>
      <c r="I574" s="26"/>
      <c r="J574" s="26"/>
      <c r="K574" s="2"/>
      <c r="L574" s="2"/>
      <c r="M574" s="2"/>
      <c r="N574" s="2"/>
      <c r="O574" s="2"/>
      <c r="P574" s="2"/>
      <c r="Q574" s="2"/>
      <c r="R574" s="2"/>
      <c r="S574" s="2"/>
      <c r="T574" s="2"/>
      <c r="U574" s="2"/>
      <c r="V574" s="2"/>
      <c r="W574" s="2"/>
      <c r="X574" s="2"/>
      <c r="Y574" s="2"/>
    </row>
    <row r="575">
      <c r="A575" s="25"/>
      <c r="B575" s="25"/>
      <c r="C575" s="25"/>
      <c r="D575" s="26"/>
      <c r="E575" s="26"/>
      <c r="F575" s="25"/>
      <c r="G575" s="25"/>
      <c r="H575" s="25"/>
      <c r="I575" s="26"/>
      <c r="J575" s="26"/>
      <c r="K575" s="2"/>
      <c r="L575" s="2"/>
      <c r="M575" s="2"/>
      <c r="N575" s="2"/>
      <c r="O575" s="2"/>
      <c r="P575" s="2"/>
      <c r="Q575" s="2"/>
      <c r="R575" s="2"/>
      <c r="S575" s="2"/>
      <c r="T575" s="2"/>
      <c r="U575" s="2"/>
      <c r="V575" s="2"/>
      <c r="W575" s="2"/>
      <c r="X575" s="2"/>
      <c r="Y575" s="2"/>
    </row>
    <row r="576">
      <c r="A576" s="25"/>
      <c r="B576" s="25"/>
      <c r="C576" s="25"/>
      <c r="D576" s="26"/>
      <c r="E576" s="26"/>
      <c r="F576" s="25"/>
      <c r="G576" s="25"/>
      <c r="H576" s="25"/>
      <c r="I576" s="26"/>
      <c r="J576" s="26"/>
      <c r="K576" s="2"/>
      <c r="L576" s="2"/>
      <c r="M576" s="2"/>
      <c r="N576" s="2"/>
      <c r="O576" s="2"/>
      <c r="P576" s="2"/>
      <c r="Q576" s="2"/>
      <c r="R576" s="2"/>
      <c r="S576" s="2"/>
      <c r="T576" s="2"/>
      <c r="U576" s="2"/>
      <c r="V576" s="2"/>
      <c r="W576" s="2"/>
      <c r="X576" s="2"/>
      <c r="Y576" s="2"/>
    </row>
    <row r="577">
      <c r="A577" s="25"/>
      <c r="B577" s="25"/>
      <c r="C577" s="25"/>
      <c r="D577" s="26"/>
      <c r="E577" s="26"/>
      <c r="F577" s="25"/>
      <c r="G577" s="25"/>
      <c r="H577" s="25"/>
      <c r="I577" s="26"/>
      <c r="J577" s="26"/>
      <c r="K577" s="2"/>
      <c r="L577" s="2"/>
      <c r="M577" s="2"/>
      <c r="N577" s="2"/>
      <c r="O577" s="2"/>
      <c r="P577" s="2"/>
      <c r="Q577" s="2"/>
      <c r="R577" s="2"/>
      <c r="S577" s="2"/>
      <c r="T577" s="2"/>
      <c r="U577" s="2"/>
      <c r="V577" s="2"/>
      <c r="W577" s="2"/>
      <c r="X577" s="2"/>
      <c r="Y577" s="2"/>
    </row>
    <row r="578">
      <c r="A578" s="25"/>
      <c r="B578" s="25"/>
      <c r="C578" s="25"/>
      <c r="D578" s="26"/>
      <c r="E578" s="26"/>
      <c r="F578" s="25"/>
      <c r="G578" s="25"/>
      <c r="H578" s="25"/>
      <c r="I578" s="26"/>
      <c r="J578" s="26"/>
      <c r="K578" s="2"/>
      <c r="L578" s="2"/>
      <c r="M578" s="2"/>
      <c r="N578" s="2"/>
      <c r="O578" s="2"/>
      <c r="P578" s="2"/>
      <c r="Q578" s="2"/>
      <c r="R578" s="2"/>
      <c r="S578" s="2"/>
      <c r="T578" s="2"/>
      <c r="U578" s="2"/>
      <c r="V578" s="2"/>
      <c r="W578" s="2"/>
      <c r="X578" s="2"/>
      <c r="Y578" s="2"/>
    </row>
    <row r="579">
      <c r="A579" s="25"/>
      <c r="B579" s="25"/>
      <c r="C579" s="25"/>
      <c r="D579" s="26"/>
      <c r="E579" s="26"/>
      <c r="F579" s="25"/>
      <c r="G579" s="25"/>
      <c r="H579" s="25"/>
      <c r="I579" s="26"/>
      <c r="J579" s="26"/>
      <c r="K579" s="2"/>
      <c r="L579" s="2"/>
      <c r="M579" s="2"/>
      <c r="N579" s="2"/>
      <c r="O579" s="2"/>
      <c r="P579" s="2"/>
      <c r="Q579" s="2"/>
      <c r="R579" s="2"/>
      <c r="S579" s="2"/>
      <c r="T579" s="2"/>
      <c r="U579" s="2"/>
      <c r="V579" s="2"/>
      <c r="W579" s="2"/>
      <c r="X579" s="2"/>
      <c r="Y579" s="2"/>
    </row>
    <row r="580">
      <c r="A580" s="25"/>
      <c r="B580" s="25"/>
      <c r="C580" s="25"/>
      <c r="D580" s="26"/>
      <c r="E580" s="26"/>
      <c r="F580" s="25"/>
      <c r="G580" s="25"/>
      <c r="H580" s="25"/>
      <c r="I580" s="26"/>
      <c r="J580" s="26"/>
      <c r="K580" s="2"/>
      <c r="L580" s="2"/>
      <c r="M580" s="2"/>
      <c r="N580" s="2"/>
      <c r="O580" s="2"/>
      <c r="P580" s="2"/>
      <c r="Q580" s="2"/>
      <c r="R580" s="2"/>
      <c r="S580" s="2"/>
      <c r="T580" s="2"/>
      <c r="U580" s="2"/>
      <c r="V580" s="2"/>
      <c r="W580" s="2"/>
      <c r="X580" s="2"/>
      <c r="Y580" s="2"/>
    </row>
    <row r="581">
      <c r="A581" s="25"/>
      <c r="B581" s="25"/>
      <c r="C581" s="25"/>
      <c r="D581" s="26"/>
      <c r="E581" s="26"/>
      <c r="F581" s="25"/>
      <c r="G581" s="25"/>
      <c r="H581" s="25"/>
      <c r="I581" s="26"/>
      <c r="J581" s="26"/>
      <c r="K581" s="2"/>
      <c r="L581" s="2"/>
      <c r="M581" s="2"/>
      <c r="N581" s="2"/>
      <c r="O581" s="2"/>
      <c r="P581" s="2"/>
      <c r="Q581" s="2"/>
      <c r="R581" s="2"/>
      <c r="S581" s="2"/>
      <c r="T581" s="2"/>
      <c r="U581" s="2"/>
      <c r="V581" s="2"/>
      <c r="W581" s="2"/>
      <c r="X581" s="2"/>
      <c r="Y581" s="2"/>
    </row>
    <row r="582">
      <c r="A582" s="25"/>
      <c r="B582" s="25"/>
      <c r="C582" s="25"/>
      <c r="D582" s="26"/>
      <c r="E582" s="26"/>
      <c r="F582" s="25"/>
      <c r="G582" s="25"/>
      <c r="H582" s="25"/>
      <c r="I582" s="26"/>
      <c r="J582" s="26"/>
      <c r="K582" s="2"/>
      <c r="L582" s="2"/>
      <c r="M582" s="2"/>
      <c r="N582" s="2"/>
      <c r="O582" s="2"/>
      <c r="P582" s="2"/>
      <c r="Q582" s="2"/>
      <c r="R582" s="2"/>
      <c r="S582" s="2"/>
      <c r="T582" s="2"/>
      <c r="U582" s="2"/>
      <c r="V582" s="2"/>
      <c r="W582" s="2"/>
      <c r="X582" s="2"/>
      <c r="Y582" s="2"/>
    </row>
    <row r="583">
      <c r="A583" s="25"/>
      <c r="B583" s="25"/>
      <c r="C583" s="25"/>
      <c r="D583" s="26"/>
      <c r="E583" s="26"/>
      <c r="F583" s="25"/>
      <c r="G583" s="25"/>
      <c r="H583" s="25"/>
      <c r="I583" s="26"/>
      <c r="J583" s="26"/>
      <c r="K583" s="2"/>
      <c r="L583" s="2"/>
      <c r="M583" s="2"/>
      <c r="N583" s="2"/>
      <c r="O583" s="2"/>
      <c r="P583" s="2"/>
      <c r="Q583" s="2"/>
      <c r="R583" s="2"/>
      <c r="S583" s="2"/>
      <c r="T583" s="2"/>
      <c r="U583" s="2"/>
      <c r="V583" s="2"/>
      <c r="W583" s="2"/>
      <c r="X583" s="2"/>
      <c r="Y583" s="2"/>
    </row>
    <row r="584">
      <c r="A584" s="25"/>
      <c r="B584" s="25"/>
      <c r="C584" s="25"/>
      <c r="D584" s="26"/>
      <c r="E584" s="26"/>
      <c r="F584" s="25"/>
      <c r="G584" s="25"/>
      <c r="H584" s="25"/>
      <c r="I584" s="26"/>
      <c r="J584" s="26"/>
      <c r="K584" s="2"/>
      <c r="L584" s="2"/>
      <c r="M584" s="2"/>
      <c r="N584" s="2"/>
      <c r="O584" s="2"/>
      <c r="P584" s="2"/>
      <c r="Q584" s="2"/>
      <c r="R584" s="2"/>
      <c r="S584" s="2"/>
      <c r="T584" s="2"/>
      <c r="U584" s="2"/>
      <c r="V584" s="2"/>
      <c r="W584" s="2"/>
      <c r="X584" s="2"/>
      <c r="Y584" s="2"/>
    </row>
    <row r="585">
      <c r="A585" s="25"/>
      <c r="B585" s="25"/>
      <c r="C585" s="25"/>
      <c r="D585" s="26"/>
      <c r="E585" s="26"/>
      <c r="F585" s="25"/>
      <c r="G585" s="25"/>
      <c r="H585" s="25"/>
      <c r="I585" s="26"/>
      <c r="J585" s="26"/>
      <c r="K585" s="2"/>
      <c r="L585" s="2"/>
      <c r="M585" s="2"/>
      <c r="N585" s="2"/>
      <c r="O585" s="2"/>
      <c r="P585" s="2"/>
      <c r="Q585" s="2"/>
      <c r="R585" s="2"/>
      <c r="S585" s="2"/>
      <c r="T585" s="2"/>
      <c r="U585" s="2"/>
      <c r="V585" s="2"/>
      <c r="W585" s="2"/>
      <c r="X585" s="2"/>
      <c r="Y585" s="2"/>
    </row>
    <row r="586">
      <c r="A586" s="25"/>
      <c r="B586" s="25"/>
      <c r="C586" s="25"/>
      <c r="D586" s="26"/>
      <c r="E586" s="26"/>
      <c r="F586" s="25"/>
      <c r="G586" s="25"/>
      <c r="H586" s="25"/>
      <c r="I586" s="26"/>
      <c r="J586" s="26"/>
      <c r="K586" s="2"/>
      <c r="L586" s="2"/>
      <c r="M586" s="2"/>
      <c r="N586" s="2"/>
      <c r="O586" s="2"/>
      <c r="P586" s="2"/>
      <c r="Q586" s="2"/>
      <c r="R586" s="2"/>
      <c r="S586" s="2"/>
      <c r="T586" s="2"/>
      <c r="U586" s="2"/>
      <c r="V586" s="2"/>
      <c r="W586" s="2"/>
      <c r="X586" s="2"/>
      <c r="Y586" s="2"/>
    </row>
    <row r="587">
      <c r="A587" s="25"/>
      <c r="B587" s="25"/>
      <c r="C587" s="25"/>
      <c r="D587" s="26"/>
      <c r="E587" s="26"/>
      <c r="F587" s="25"/>
      <c r="G587" s="25"/>
      <c r="H587" s="25"/>
      <c r="I587" s="26"/>
      <c r="J587" s="26"/>
      <c r="K587" s="2"/>
      <c r="L587" s="2"/>
      <c r="M587" s="2"/>
      <c r="N587" s="2"/>
      <c r="O587" s="2"/>
      <c r="P587" s="2"/>
      <c r="Q587" s="2"/>
      <c r="R587" s="2"/>
      <c r="S587" s="2"/>
      <c r="T587" s="2"/>
      <c r="U587" s="2"/>
      <c r="V587" s="2"/>
      <c r="W587" s="2"/>
      <c r="X587" s="2"/>
      <c r="Y587" s="2"/>
    </row>
    <row r="588">
      <c r="A588" s="25"/>
      <c r="B588" s="25"/>
      <c r="C588" s="25"/>
      <c r="D588" s="26"/>
      <c r="E588" s="26"/>
      <c r="F588" s="25"/>
      <c r="G588" s="25"/>
      <c r="H588" s="25"/>
      <c r="I588" s="26"/>
      <c r="J588" s="26"/>
      <c r="K588" s="2"/>
      <c r="L588" s="2"/>
      <c r="M588" s="2"/>
      <c r="N588" s="2"/>
      <c r="O588" s="2"/>
      <c r="P588" s="2"/>
      <c r="Q588" s="2"/>
      <c r="R588" s="2"/>
      <c r="S588" s="2"/>
      <c r="T588" s="2"/>
      <c r="U588" s="2"/>
      <c r="V588" s="2"/>
      <c r="W588" s="2"/>
      <c r="X588" s="2"/>
      <c r="Y588" s="2"/>
    </row>
    <row r="589">
      <c r="A589" s="25"/>
      <c r="B589" s="25"/>
      <c r="C589" s="25"/>
      <c r="D589" s="26"/>
      <c r="E589" s="26"/>
      <c r="F589" s="25"/>
      <c r="G589" s="25"/>
      <c r="H589" s="25"/>
      <c r="I589" s="26"/>
      <c r="J589" s="26"/>
      <c r="K589" s="2"/>
      <c r="L589" s="2"/>
      <c r="M589" s="2"/>
      <c r="N589" s="2"/>
      <c r="O589" s="2"/>
      <c r="P589" s="2"/>
      <c r="Q589" s="2"/>
      <c r="R589" s="2"/>
      <c r="S589" s="2"/>
      <c r="T589" s="2"/>
      <c r="U589" s="2"/>
      <c r="V589" s="2"/>
      <c r="W589" s="2"/>
      <c r="X589" s="2"/>
      <c r="Y589" s="2"/>
    </row>
    <row r="590">
      <c r="A590" s="25"/>
      <c r="B590" s="25"/>
      <c r="C590" s="25"/>
      <c r="D590" s="26"/>
      <c r="E590" s="26"/>
      <c r="F590" s="25"/>
      <c r="G590" s="25"/>
      <c r="H590" s="25"/>
      <c r="I590" s="26"/>
      <c r="J590" s="26"/>
      <c r="K590" s="2"/>
      <c r="L590" s="2"/>
      <c r="M590" s="2"/>
      <c r="N590" s="2"/>
      <c r="O590" s="2"/>
      <c r="P590" s="2"/>
      <c r="Q590" s="2"/>
      <c r="R590" s="2"/>
      <c r="S590" s="2"/>
      <c r="T590" s="2"/>
      <c r="U590" s="2"/>
      <c r="V590" s="2"/>
      <c r="W590" s="2"/>
      <c r="X590" s="2"/>
      <c r="Y590" s="2"/>
    </row>
    <row r="591">
      <c r="A591" s="25"/>
      <c r="B591" s="25"/>
      <c r="C591" s="25"/>
      <c r="D591" s="26"/>
      <c r="E591" s="26"/>
      <c r="F591" s="25"/>
      <c r="G591" s="25"/>
      <c r="H591" s="25"/>
      <c r="I591" s="26"/>
      <c r="J591" s="26"/>
      <c r="K591" s="2"/>
      <c r="L591" s="2"/>
      <c r="M591" s="2"/>
      <c r="N591" s="2"/>
      <c r="O591" s="2"/>
      <c r="P591" s="2"/>
      <c r="Q591" s="2"/>
      <c r="R591" s="2"/>
      <c r="S591" s="2"/>
      <c r="T591" s="2"/>
      <c r="U591" s="2"/>
      <c r="V591" s="2"/>
      <c r="W591" s="2"/>
      <c r="X591" s="2"/>
      <c r="Y591" s="2"/>
    </row>
    <row r="592">
      <c r="A592" s="25"/>
      <c r="B592" s="25"/>
      <c r="C592" s="25"/>
      <c r="D592" s="26"/>
      <c r="E592" s="26"/>
      <c r="F592" s="25"/>
      <c r="G592" s="25"/>
      <c r="H592" s="25"/>
      <c r="I592" s="26"/>
      <c r="J592" s="26"/>
      <c r="K592" s="2"/>
      <c r="L592" s="2"/>
      <c r="M592" s="2"/>
      <c r="N592" s="2"/>
      <c r="O592" s="2"/>
      <c r="P592" s="2"/>
      <c r="Q592" s="2"/>
      <c r="R592" s="2"/>
      <c r="S592" s="2"/>
      <c r="T592" s="2"/>
      <c r="U592" s="2"/>
      <c r="V592" s="2"/>
      <c r="W592" s="2"/>
      <c r="X592" s="2"/>
      <c r="Y592" s="2"/>
    </row>
    <row r="593">
      <c r="A593" s="25"/>
      <c r="B593" s="25"/>
      <c r="C593" s="25"/>
      <c r="D593" s="26"/>
      <c r="E593" s="26"/>
      <c r="F593" s="25"/>
      <c r="G593" s="25"/>
      <c r="H593" s="25"/>
      <c r="I593" s="26"/>
      <c r="J593" s="26"/>
      <c r="K593" s="2"/>
      <c r="L593" s="2"/>
      <c r="M593" s="2"/>
      <c r="N593" s="2"/>
      <c r="O593" s="2"/>
      <c r="P593" s="2"/>
      <c r="Q593" s="2"/>
      <c r="R593" s="2"/>
      <c r="S593" s="2"/>
      <c r="T593" s="2"/>
      <c r="U593" s="2"/>
      <c r="V593" s="2"/>
      <c r="W593" s="2"/>
      <c r="X593" s="2"/>
      <c r="Y593" s="2"/>
    </row>
    <row r="594">
      <c r="A594" s="25"/>
      <c r="B594" s="25"/>
      <c r="C594" s="25"/>
      <c r="D594" s="26"/>
      <c r="E594" s="26"/>
      <c r="F594" s="25"/>
      <c r="G594" s="25"/>
      <c r="H594" s="25"/>
      <c r="I594" s="26"/>
      <c r="J594" s="26"/>
      <c r="K594" s="2"/>
      <c r="L594" s="2"/>
      <c r="M594" s="2"/>
      <c r="N594" s="2"/>
      <c r="O594" s="2"/>
      <c r="P594" s="2"/>
      <c r="Q594" s="2"/>
      <c r="R594" s="2"/>
      <c r="S594" s="2"/>
      <c r="T594" s="2"/>
      <c r="U594" s="2"/>
      <c r="V594" s="2"/>
      <c r="W594" s="2"/>
      <c r="X594" s="2"/>
      <c r="Y594" s="2"/>
    </row>
    <row r="595">
      <c r="A595" s="25"/>
      <c r="B595" s="25"/>
      <c r="C595" s="25"/>
      <c r="D595" s="26"/>
      <c r="E595" s="26"/>
      <c r="F595" s="25"/>
      <c r="G595" s="25"/>
      <c r="H595" s="25"/>
      <c r="I595" s="26"/>
      <c r="J595" s="26"/>
      <c r="K595" s="2"/>
      <c r="L595" s="2"/>
      <c r="M595" s="2"/>
      <c r="N595" s="2"/>
      <c r="O595" s="2"/>
      <c r="P595" s="2"/>
      <c r="Q595" s="2"/>
      <c r="R595" s="2"/>
      <c r="S595" s="2"/>
      <c r="T595" s="2"/>
      <c r="U595" s="2"/>
      <c r="V595" s="2"/>
      <c r="W595" s="2"/>
      <c r="X595" s="2"/>
      <c r="Y595" s="2"/>
    </row>
    <row r="596">
      <c r="A596" s="25"/>
      <c r="B596" s="25"/>
      <c r="C596" s="25"/>
      <c r="D596" s="26"/>
      <c r="E596" s="26"/>
      <c r="F596" s="25"/>
      <c r="G596" s="25"/>
      <c r="H596" s="25"/>
      <c r="I596" s="26"/>
      <c r="J596" s="26"/>
      <c r="K596" s="2"/>
      <c r="L596" s="2"/>
      <c r="M596" s="2"/>
      <c r="N596" s="2"/>
      <c r="O596" s="2"/>
      <c r="P596" s="2"/>
      <c r="Q596" s="2"/>
      <c r="R596" s="2"/>
      <c r="S596" s="2"/>
      <c r="T596" s="2"/>
      <c r="U596" s="2"/>
      <c r="V596" s="2"/>
      <c r="W596" s="2"/>
      <c r="X596" s="2"/>
      <c r="Y596" s="2"/>
    </row>
    <row r="597">
      <c r="A597" s="25"/>
      <c r="B597" s="25"/>
      <c r="C597" s="25"/>
      <c r="D597" s="26"/>
      <c r="E597" s="26"/>
      <c r="F597" s="25"/>
      <c r="G597" s="25"/>
      <c r="H597" s="25"/>
      <c r="I597" s="26"/>
      <c r="J597" s="26"/>
      <c r="K597" s="2"/>
      <c r="L597" s="2"/>
      <c r="M597" s="2"/>
      <c r="N597" s="2"/>
      <c r="O597" s="2"/>
      <c r="P597" s="2"/>
      <c r="Q597" s="2"/>
      <c r="R597" s="2"/>
      <c r="S597" s="2"/>
      <c r="T597" s="2"/>
      <c r="U597" s="2"/>
      <c r="V597" s="2"/>
      <c r="W597" s="2"/>
      <c r="X597" s="2"/>
      <c r="Y597" s="2"/>
    </row>
    <row r="598">
      <c r="A598" s="25"/>
      <c r="B598" s="25"/>
      <c r="C598" s="25"/>
      <c r="D598" s="26"/>
      <c r="E598" s="26"/>
      <c r="F598" s="25"/>
      <c r="G598" s="25"/>
      <c r="H598" s="25"/>
      <c r="I598" s="26"/>
      <c r="J598" s="26"/>
      <c r="K598" s="2"/>
      <c r="L598" s="2"/>
      <c r="M598" s="2"/>
      <c r="N598" s="2"/>
      <c r="O598" s="2"/>
      <c r="P598" s="2"/>
      <c r="Q598" s="2"/>
      <c r="R598" s="2"/>
      <c r="S598" s="2"/>
      <c r="T598" s="2"/>
      <c r="U598" s="2"/>
      <c r="V598" s="2"/>
      <c r="W598" s="2"/>
      <c r="X598" s="2"/>
      <c r="Y598" s="2"/>
    </row>
    <row r="599">
      <c r="A599" s="25"/>
      <c r="B599" s="25"/>
      <c r="C599" s="25"/>
      <c r="D599" s="26"/>
      <c r="E599" s="26"/>
      <c r="F599" s="25"/>
      <c r="G599" s="25"/>
      <c r="H599" s="25"/>
      <c r="I599" s="26"/>
      <c r="J599" s="26"/>
      <c r="K599" s="2"/>
      <c r="L599" s="2"/>
      <c r="M599" s="2"/>
      <c r="N599" s="2"/>
      <c r="O599" s="2"/>
      <c r="P599" s="2"/>
      <c r="Q599" s="2"/>
      <c r="R599" s="2"/>
      <c r="S599" s="2"/>
      <c r="T599" s="2"/>
      <c r="U599" s="2"/>
      <c r="V599" s="2"/>
      <c r="W599" s="2"/>
      <c r="X599" s="2"/>
      <c r="Y599" s="2"/>
    </row>
    <row r="600">
      <c r="A600" s="25"/>
      <c r="B600" s="25"/>
      <c r="C600" s="25"/>
      <c r="D600" s="26"/>
      <c r="E600" s="26"/>
      <c r="F600" s="25"/>
      <c r="G600" s="25"/>
      <c r="H600" s="25"/>
      <c r="I600" s="26"/>
      <c r="J600" s="26"/>
      <c r="K600" s="2"/>
      <c r="L600" s="2"/>
      <c r="M600" s="2"/>
      <c r="N600" s="2"/>
      <c r="O600" s="2"/>
      <c r="P600" s="2"/>
      <c r="Q600" s="2"/>
      <c r="R600" s="2"/>
      <c r="S600" s="2"/>
      <c r="T600" s="2"/>
      <c r="U600" s="2"/>
      <c r="V600" s="2"/>
      <c r="W600" s="2"/>
      <c r="X600" s="2"/>
      <c r="Y600" s="2"/>
    </row>
    <row r="601">
      <c r="A601" s="25"/>
      <c r="B601" s="25"/>
      <c r="C601" s="25"/>
      <c r="D601" s="26"/>
      <c r="E601" s="26"/>
      <c r="F601" s="25"/>
      <c r="G601" s="25"/>
      <c r="H601" s="25"/>
      <c r="I601" s="26"/>
      <c r="J601" s="26"/>
      <c r="K601" s="2"/>
      <c r="L601" s="2"/>
      <c r="M601" s="2"/>
      <c r="N601" s="2"/>
      <c r="O601" s="2"/>
      <c r="P601" s="2"/>
      <c r="Q601" s="2"/>
      <c r="R601" s="2"/>
      <c r="S601" s="2"/>
      <c r="T601" s="2"/>
      <c r="U601" s="2"/>
      <c r="V601" s="2"/>
      <c r="W601" s="2"/>
      <c r="X601" s="2"/>
      <c r="Y601" s="2"/>
    </row>
    <row r="602">
      <c r="A602" s="25"/>
      <c r="B602" s="25"/>
      <c r="C602" s="25"/>
      <c r="D602" s="26"/>
      <c r="E602" s="26"/>
      <c r="F602" s="25"/>
      <c r="G602" s="25"/>
      <c r="H602" s="25"/>
      <c r="I602" s="26"/>
      <c r="J602" s="26"/>
      <c r="K602" s="2"/>
      <c r="L602" s="2"/>
      <c r="M602" s="2"/>
      <c r="N602" s="2"/>
      <c r="O602" s="2"/>
      <c r="P602" s="2"/>
      <c r="Q602" s="2"/>
      <c r="R602" s="2"/>
      <c r="S602" s="2"/>
      <c r="T602" s="2"/>
      <c r="U602" s="2"/>
      <c r="V602" s="2"/>
      <c r="W602" s="2"/>
      <c r="X602" s="2"/>
      <c r="Y602" s="2"/>
    </row>
    <row r="603">
      <c r="A603" s="25"/>
      <c r="B603" s="25"/>
      <c r="C603" s="25"/>
      <c r="D603" s="26"/>
      <c r="E603" s="26"/>
      <c r="F603" s="25"/>
      <c r="G603" s="25"/>
      <c r="H603" s="25"/>
      <c r="I603" s="26"/>
      <c r="J603" s="26"/>
      <c r="K603" s="2"/>
      <c r="L603" s="2"/>
      <c r="M603" s="2"/>
      <c r="N603" s="2"/>
      <c r="O603" s="2"/>
      <c r="P603" s="2"/>
      <c r="Q603" s="2"/>
      <c r="R603" s="2"/>
      <c r="S603" s="2"/>
      <c r="T603" s="2"/>
      <c r="U603" s="2"/>
      <c r="V603" s="2"/>
      <c r="W603" s="2"/>
      <c r="X603" s="2"/>
      <c r="Y603" s="2"/>
    </row>
    <row r="604">
      <c r="A604" s="25"/>
      <c r="B604" s="25"/>
      <c r="C604" s="25"/>
      <c r="D604" s="26"/>
      <c r="E604" s="26"/>
      <c r="F604" s="25"/>
      <c r="G604" s="25"/>
      <c r="H604" s="25"/>
      <c r="I604" s="26"/>
      <c r="J604" s="26"/>
      <c r="K604" s="2"/>
      <c r="L604" s="2"/>
      <c r="M604" s="2"/>
      <c r="N604" s="2"/>
      <c r="O604" s="2"/>
      <c r="P604" s="2"/>
      <c r="Q604" s="2"/>
      <c r="R604" s="2"/>
      <c r="S604" s="2"/>
      <c r="T604" s="2"/>
      <c r="U604" s="2"/>
      <c r="V604" s="2"/>
      <c r="W604" s="2"/>
      <c r="X604" s="2"/>
      <c r="Y604" s="2"/>
    </row>
    <row r="605">
      <c r="A605" s="25"/>
      <c r="B605" s="25"/>
      <c r="C605" s="25"/>
      <c r="D605" s="26"/>
      <c r="E605" s="26"/>
      <c r="F605" s="25"/>
      <c r="G605" s="25"/>
      <c r="H605" s="25"/>
      <c r="I605" s="26"/>
      <c r="J605" s="26"/>
      <c r="K605" s="2"/>
      <c r="L605" s="2"/>
      <c r="M605" s="2"/>
      <c r="N605" s="2"/>
      <c r="O605" s="2"/>
      <c r="P605" s="2"/>
      <c r="Q605" s="2"/>
      <c r="R605" s="2"/>
      <c r="S605" s="2"/>
      <c r="T605" s="2"/>
      <c r="U605" s="2"/>
      <c r="V605" s="2"/>
      <c r="W605" s="2"/>
      <c r="X605" s="2"/>
      <c r="Y605" s="2"/>
    </row>
    <row r="606">
      <c r="A606" s="25"/>
      <c r="B606" s="25"/>
      <c r="C606" s="25"/>
      <c r="D606" s="26"/>
      <c r="E606" s="26"/>
      <c r="F606" s="25"/>
      <c r="G606" s="25"/>
      <c r="H606" s="25"/>
      <c r="I606" s="26"/>
      <c r="J606" s="26"/>
      <c r="K606" s="2"/>
      <c r="L606" s="2"/>
      <c r="M606" s="2"/>
      <c r="N606" s="2"/>
      <c r="O606" s="2"/>
      <c r="P606" s="2"/>
      <c r="Q606" s="2"/>
      <c r="R606" s="2"/>
      <c r="S606" s="2"/>
      <c r="T606" s="2"/>
      <c r="U606" s="2"/>
      <c r="V606" s="2"/>
      <c r="W606" s="2"/>
      <c r="X606" s="2"/>
      <c r="Y606" s="2"/>
    </row>
    <row r="607">
      <c r="A607" s="25"/>
      <c r="B607" s="25"/>
      <c r="C607" s="25"/>
      <c r="D607" s="26"/>
      <c r="E607" s="26"/>
      <c r="F607" s="25"/>
      <c r="G607" s="25"/>
      <c r="H607" s="25"/>
      <c r="I607" s="26"/>
      <c r="J607" s="26"/>
      <c r="K607" s="2"/>
      <c r="L607" s="2"/>
      <c r="M607" s="2"/>
      <c r="N607" s="2"/>
      <c r="O607" s="2"/>
      <c r="P607" s="2"/>
      <c r="Q607" s="2"/>
      <c r="R607" s="2"/>
      <c r="S607" s="2"/>
      <c r="T607" s="2"/>
      <c r="U607" s="2"/>
      <c r="V607" s="2"/>
      <c r="W607" s="2"/>
      <c r="X607" s="2"/>
      <c r="Y607" s="2"/>
    </row>
    <row r="608">
      <c r="A608" s="25"/>
      <c r="B608" s="25"/>
      <c r="C608" s="25"/>
      <c r="D608" s="26"/>
      <c r="E608" s="26"/>
      <c r="F608" s="25"/>
      <c r="G608" s="25"/>
      <c r="H608" s="25"/>
      <c r="I608" s="26"/>
      <c r="J608" s="26"/>
      <c r="K608" s="2"/>
      <c r="L608" s="2"/>
      <c r="M608" s="2"/>
      <c r="N608" s="2"/>
      <c r="O608" s="2"/>
      <c r="P608" s="2"/>
      <c r="Q608" s="2"/>
      <c r="R608" s="2"/>
      <c r="S608" s="2"/>
      <c r="T608" s="2"/>
      <c r="U608" s="2"/>
      <c r="V608" s="2"/>
      <c r="W608" s="2"/>
      <c r="X608" s="2"/>
      <c r="Y608" s="2"/>
    </row>
    <row r="609">
      <c r="A609" s="25"/>
      <c r="B609" s="25"/>
      <c r="C609" s="25"/>
      <c r="D609" s="26"/>
      <c r="E609" s="26"/>
      <c r="F609" s="25"/>
      <c r="G609" s="25"/>
      <c r="H609" s="25"/>
      <c r="I609" s="26"/>
      <c r="J609" s="26"/>
      <c r="K609" s="2"/>
      <c r="L609" s="2"/>
      <c r="M609" s="2"/>
      <c r="N609" s="2"/>
      <c r="O609" s="2"/>
      <c r="P609" s="2"/>
      <c r="Q609" s="2"/>
      <c r="R609" s="2"/>
      <c r="S609" s="2"/>
      <c r="T609" s="2"/>
      <c r="U609" s="2"/>
      <c r="V609" s="2"/>
      <c r="W609" s="2"/>
      <c r="X609" s="2"/>
      <c r="Y609" s="2"/>
    </row>
    <row r="610">
      <c r="A610" s="25"/>
      <c r="B610" s="25"/>
      <c r="C610" s="25"/>
      <c r="D610" s="26"/>
      <c r="E610" s="26"/>
      <c r="F610" s="25"/>
      <c r="G610" s="25"/>
      <c r="H610" s="25"/>
      <c r="I610" s="26"/>
      <c r="J610" s="26"/>
      <c r="K610" s="2"/>
      <c r="L610" s="2"/>
      <c r="M610" s="2"/>
      <c r="N610" s="2"/>
      <c r="O610" s="2"/>
      <c r="P610" s="2"/>
      <c r="Q610" s="2"/>
      <c r="R610" s="2"/>
      <c r="S610" s="2"/>
      <c r="T610" s="2"/>
      <c r="U610" s="2"/>
      <c r="V610" s="2"/>
      <c r="W610" s="2"/>
      <c r="X610" s="2"/>
      <c r="Y610" s="2"/>
    </row>
    <row r="611">
      <c r="A611" s="25"/>
      <c r="B611" s="25"/>
      <c r="C611" s="25"/>
      <c r="D611" s="26"/>
      <c r="E611" s="26"/>
      <c r="F611" s="25"/>
      <c r="G611" s="25"/>
      <c r="H611" s="25"/>
      <c r="I611" s="26"/>
      <c r="J611" s="26"/>
      <c r="K611" s="2"/>
      <c r="L611" s="2"/>
      <c r="M611" s="2"/>
      <c r="N611" s="2"/>
      <c r="O611" s="2"/>
      <c r="P611" s="2"/>
      <c r="Q611" s="2"/>
      <c r="R611" s="2"/>
      <c r="S611" s="2"/>
      <c r="T611" s="2"/>
      <c r="U611" s="2"/>
      <c r="V611" s="2"/>
      <c r="W611" s="2"/>
      <c r="X611" s="2"/>
      <c r="Y611" s="2"/>
    </row>
    <row r="612">
      <c r="A612" s="25"/>
      <c r="B612" s="25"/>
      <c r="C612" s="25"/>
      <c r="D612" s="26"/>
      <c r="E612" s="26"/>
      <c r="F612" s="25"/>
      <c r="G612" s="25"/>
      <c r="H612" s="25"/>
      <c r="I612" s="26"/>
      <c r="J612" s="26"/>
      <c r="K612" s="2"/>
      <c r="L612" s="2"/>
      <c r="M612" s="2"/>
      <c r="N612" s="2"/>
      <c r="O612" s="2"/>
      <c r="P612" s="2"/>
      <c r="Q612" s="2"/>
      <c r="R612" s="2"/>
      <c r="S612" s="2"/>
      <c r="T612" s="2"/>
      <c r="U612" s="2"/>
      <c r="V612" s="2"/>
      <c r="W612" s="2"/>
      <c r="X612" s="2"/>
      <c r="Y612" s="2"/>
    </row>
    <row r="613">
      <c r="A613" s="25"/>
      <c r="B613" s="25"/>
      <c r="C613" s="25"/>
      <c r="D613" s="26"/>
      <c r="E613" s="26"/>
      <c r="F613" s="25"/>
      <c r="G613" s="25"/>
      <c r="H613" s="25"/>
      <c r="I613" s="26"/>
      <c r="J613" s="26"/>
      <c r="K613" s="2"/>
      <c r="L613" s="2"/>
      <c r="M613" s="2"/>
      <c r="N613" s="2"/>
      <c r="O613" s="2"/>
      <c r="P613" s="2"/>
      <c r="Q613" s="2"/>
      <c r="R613" s="2"/>
      <c r="S613" s="2"/>
      <c r="T613" s="2"/>
      <c r="U613" s="2"/>
      <c r="V613" s="2"/>
      <c r="W613" s="2"/>
      <c r="X613" s="2"/>
      <c r="Y613" s="2"/>
    </row>
    <row r="614">
      <c r="A614" s="25"/>
      <c r="B614" s="25"/>
      <c r="C614" s="25"/>
      <c r="D614" s="26"/>
      <c r="E614" s="26"/>
      <c r="F614" s="25"/>
      <c r="G614" s="25"/>
      <c r="H614" s="25"/>
      <c r="I614" s="26"/>
      <c r="J614" s="26"/>
      <c r="K614" s="2"/>
      <c r="L614" s="2"/>
      <c r="M614" s="2"/>
      <c r="N614" s="2"/>
      <c r="O614" s="2"/>
      <c r="P614" s="2"/>
      <c r="Q614" s="2"/>
      <c r="R614" s="2"/>
      <c r="S614" s="2"/>
      <c r="T614" s="2"/>
      <c r="U614" s="2"/>
      <c r="V614" s="2"/>
      <c r="W614" s="2"/>
      <c r="X614" s="2"/>
      <c r="Y614" s="2"/>
    </row>
    <row r="615">
      <c r="A615" s="25"/>
      <c r="B615" s="25"/>
      <c r="C615" s="25"/>
      <c r="D615" s="26"/>
      <c r="E615" s="26"/>
      <c r="F615" s="25"/>
      <c r="G615" s="25"/>
      <c r="H615" s="25"/>
      <c r="I615" s="26"/>
      <c r="J615" s="26"/>
      <c r="K615" s="2"/>
      <c r="L615" s="2"/>
      <c r="M615" s="2"/>
      <c r="N615" s="2"/>
      <c r="O615" s="2"/>
      <c r="P615" s="2"/>
      <c r="Q615" s="2"/>
      <c r="R615" s="2"/>
      <c r="S615" s="2"/>
      <c r="T615" s="2"/>
      <c r="U615" s="2"/>
      <c r="V615" s="2"/>
      <c r="W615" s="2"/>
      <c r="X615" s="2"/>
      <c r="Y615" s="2"/>
    </row>
    <row r="616">
      <c r="A616" s="25"/>
      <c r="B616" s="25"/>
      <c r="C616" s="25"/>
      <c r="D616" s="26"/>
      <c r="E616" s="26"/>
      <c r="F616" s="25"/>
      <c r="G616" s="25"/>
      <c r="H616" s="25"/>
      <c r="I616" s="26"/>
      <c r="J616" s="26"/>
      <c r="K616" s="2"/>
      <c r="L616" s="2"/>
      <c r="M616" s="2"/>
      <c r="N616" s="2"/>
      <c r="O616" s="2"/>
      <c r="P616" s="2"/>
      <c r="Q616" s="2"/>
      <c r="R616" s="2"/>
      <c r="S616" s="2"/>
      <c r="T616" s="2"/>
      <c r="U616" s="2"/>
      <c r="V616" s="2"/>
      <c r="W616" s="2"/>
      <c r="X616" s="2"/>
      <c r="Y616" s="2"/>
    </row>
    <row r="617">
      <c r="A617" s="25"/>
      <c r="B617" s="25"/>
      <c r="C617" s="25"/>
      <c r="D617" s="26"/>
      <c r="E617" s="26"/>
      <c r="F617" s="25"/>
      <c r="G617" s="25"/>
      <c r="H617" s="25"/>
      <c r="I617" s="26"/>
      <c r="J617" s="26"/>
      <c r="K617" s="2"/>
      <c r="L617" s="2"/>
      <c r="M617" s="2"/>
      <c r="N617" s="2"/>
      <c r="O617" s="2"/>
      <c r="P617" s="2"/>
      <c r="Q617" s="2"/>
      <c r="R617" s="2"/>
      <c r="S617" s="2"/>
      <c r="T617" s="2"/>
      <c r="U617" s="2"/>
      <c r="V617" s="2"/>
      <c r="W617" s="2"/>
      <c r="X617" s="2"/>
      <c r="Y617" s="2"/>
    </row>
    <row r="618">
      <c r="A618" s="25"/>
      <c r="B618" s="25"/>
      <c r="C618" s="25"/>
      <c r="D618" s="26"/>
      <c r="E618" s="26"/>
      <c r="F618" s="25"/>
      <c r="G618" s="25"/>
      <c r="H618" s="25"/>
      <c r="I618" s="26"/>
      <c r="J618" s="26"/>
      <c r="K618" s="2"/>
      <c r="L618" s="2"/>
      <c r="M618" s="2"/>
      <c r="N618" s="2"/>
      <c r="O618" s="2"/>
      <c r="P618" s="2"/>
      <c r="Q618" s="2"/>
      <c r="R618" s="2"/>
      <c r="S618" s="2"/>
      <c r="T618" s="2"/>
      <c r="U618" s="2"/>
      <c r="V618" s="2"/>
      <c r="W618" s="2"/>
      <c r="X618" s="2"/>
      <c r="Y618" s="2"/>
    </row>
    <row r="619">
      <c r="A619" s="25"/>
      <c r="B619" s="25"/>
      <c r="C619" s="25"/>
      <c r="D619" s="26"/>
      <c r="E619" s="26"/>
      <c r="F619" s="25"/>
      <c r="G619" s="25"/>
      <c r="H619" s="25"/>
      <c r="I619" s="26"/>
      <c r="J619" s="26"/>
      <c r="K619" s="2"/>
      <c r="L619" s="2"/>
      <c r="M619" s="2"/>
      <c r="N619" s="2"/>
      <c r="O619" s="2"/>
      <c r="P619" s="2"/>
      <c r="Q619" s="2"/>
      <c r="R619" s="2"/>
      <c r="S619" s="2"/>
      <c r="T619" s="2"/>
      <c r="U619" s="2"/>
      <c r="V619" s="2"/>
      <c r="W619" s="2"/>
      <c r="X619" s="2"/>
      <c r="Y619" s="2"/>
    </row>
    <row r="620">
      <c r="A620" s="25"/>
      <c r="B620" s="25"/>
      <c r="C620" s="25"/>
      <c r="D620" s="26"/>
      <c r="E620" s="26"/>
      <c r="F620" s="25"/>
      <c r="G620" s="25"/>
      <c r="H620" s="25"/>
      <c r="I620" s="26"/>
      <c r="J620" s="26"/>
      <c r="K620" s="2"/>
      <c r="L620" s="2"/>
      <c r="M620" s="2"/>
      <c r="N620" s="2"/>
      <c r="O620" s="2"/>
      <c r="P620" s="2"/>
      <c r="Q620" s="2"/>
      <c r="R620" s="2"/>
      <c r="S620" s="2"/>
      <c r="T620" s="2"/>
      <c r="U620" s="2"/>
      <c r="V620" s="2"/>
      <c r="W620" s="2"/>
      <c r="X620" s="2"/>
      <c r="Y620" s="2"/>
    </row>
    <row r="621">
      <c r="A621" s="25"/>
      <c r="B621" s="25"/>
      <c r="C621" s="25"/>
      <c r="D621" s="26"/>
      <c r="E621" s="26"/>
      <c r="F621" s="25"/>
      <c r="G621" s="25"/>
      <c r="H621" s="25"/>
      <c r="I621" s="26"/>
      <c r="J621" s="26"/>
      <c r="K621" s="2"/>
      <c r="L621" s="2"/>
      <c r="M621" s="2"/>
      <c r="N621" s="2"/>
      <c r="O621" s="2"/>
      <c r="P621" s="2"/>
      <c r="Q621" s="2"/>
      <c r="R621" s="2"/>
      <c r="S621" s="2"/>
      <c r="T621" s="2"/>
      <c r="U621" s="2"/>
      <c r="V621" s="2"/>
      <c r="W621" s="2"/>
      <c r="X621" s="2"/>
      <c r="Y621" s="2"/>
    </row>
    <row r="622">
      <c r="A622" s="25"/>
      <c r="B622" s="25"/>
      <c r="C622" s="25"/>
      <c r="D622" s="26"/>
      <c r="E622" s="26"/>
      <c r="F622" s="25"/>
      <c r="G622" s="25"/>
      <c r="H622" s="25"/>
      <c r="I622" s="26"/>
      <c r="J622" s="26"/>
      <c r="K622" s="2"/>
      <c r="L622" s="2"/>
      <c r="M622" s="2"/>
      <c r="N622" s="2"/>
      <c r="O622" s="2"/>
      <c r="P622" s="2"/>
      <c r="Q622" s="2"/>
      <c r="R622" s="2"/>
      <c r="S622" s="2"/>
      <c r="T622" s="2"/>
      <c r="U622" s="2"/>
      <c r="V622" s="2"/>
      <c r="W622" s="2"/>
      <c r="X622" s="2"/>
      <c r="Y622" s="2"/>
    </row>
    <row r="623">
      <c r="A623" s="25"/>
      <c r="B623" s="25"/>
      <c r="C623" s="25"/>
      <c r="D623" s="26"/>
      <c r="E623" s="26"/>
      <c r="F623" s="25"/>
      <c r="G623" s="25"/>
      <c r="H623" s="25"/>
      <c r="I623" s="26"/>
      <c r="J623" s="26"/>
      <c r="K623" s="2"/>
      <c r="L623" s="2"/>
      <c r="M623" s="2"/>
      <c r="N623" s="2"/>
      <c r="O623" s="2"/>
      <c r="P623" s="2"/>
      <c r="Q623" s="2"/>
      <c r="R623" s="2"/>
      <c r="S623" s="2"/>
      <c r="T623" s="2"/>
      <c r="U623" s="2"/>
      <c r="V623" s="2"/>
      <c r="W623" s="2"/>
      <c r="X623" s="2"/>
      <c r="Y623" s="2"/>
    </row>
    <row r="624">
      <c r="A624" s="25"/>
      <c r="B624" s="25"/>
      <c r="C624" s="25"/>
      <c r="D624" s="26"/>
      <c r="E624" s="26"/>
      <c r="F624" s="25"/>
      <c r="G624" s="25"/>
      <c r="H624" s="25"/>
      <c r="I624" s="26"/>
      <c r="J624" s="26"/>
      <c r="K624" s="2"/>
      <c r="L624" s="2"/>
      <c r="M624" s="2"/>
      <c r="N624" s="2"/>
      <c r="O624" s="2"/>
      <c r="P624" s="2"/>
      <c r="Q624" s="2"/>
      <c r="R624" s="2"/>
      <c r="S624" s="2"/>
      <c r="T624" s="2"/>
      <c r="U624" s="2"/>
      <c r="V624" s="2"/>
      <c r="W624" s="2"/>
      <c r="X624" s="2"/>
      <c r="Y624" s="2"/>
    </row>
    <row r="625">
      <c r="A625" s="25"/>
      <c r="B625" s="25"/>
      <c r="C625" s="25"/>
      <c r="D625" s="26"/>
      <c r="E625" s="26"/>
      <c r="F625" s="25"/>
      <c r="G625" s="25"/>
      <c r="H625" s="25"/>
      <c r="I625" s="26"/>
      <c r="J625" s="26"/>
      <c r="K625" s="2"/>
      <c r="L625" s="2"/>
      <c r="M625" s="2"/>
      <c r="N625" s="2"/>
      <c r="O625" s="2"/>
      <c r="P625" s="2"/>
      <c r="Q625" s="2"/>
      <c r="R625" s="2"/>
      <c r="S625" s="2"/>
      <c r="T625" s="2"/>
      <c r="U625" s="2"/>
      <c r="V625" s="2"/>
      <c r="W625" s="2"/>
      <c r="X625" s="2"/>
      <c r="Y625" s="2"/>
    </row>
    <row r="626">
      <c r="A626" s="25"/>
      <c r="B626" s="25"/>
      <c r="C626" s="25"/>
      <c r="D626" s="26"/>
      <c r="E626" s="26"/>
      <c r="F626" s="25"/>
      <c r="G626" s="25"/>
      <c r="H626" s="25"/>
      <c r="I626" s="26"/>
      <c r="J626" s="26"/>
      <c r="K626" s="2"/>
      <c r="L626" s="2"/>
      <c r="M626" s="2"/>
      <c r="N626" s="2"/>
      <c r="O626" s="2"/>
      <c r="P626" s="2"/>
      <c r="Q626" s="2"/>
      <c r="R626" s="2"/>
      <c r="S626" s="2"/>
      <c r="T626" s="2"/>
      <c r="U626" s="2"/>
      <c r="V626" s="2"/>
      <c r="W626" s="2"/>
      <c r="X626" s="2"/>
      <c r="Y626" s="2"/>
    </row>
    <row r="627">
      <c r="A627" s="25"/>
      <c r="B627" s="25"/>
      <c r="C627" s="25"/>
      <c r="D627" s="26"/>
      <c r="E627" s="26"/>
      <c r="F627" s="25"/>
      <c r="G627" s="25"/>
      <c r="H627" s="25"/>
      <c r="I627" s="26"/>
      <c r="J627" s="26"/>
      <c r="K627" s="2"/>
      <c r="L627" s="2"/>
      <c r="M627" s="2"/>
      <c r="N627" s="2"/>
      <c r="O627" s="2"/>
      <c r="P627" s="2"/>
      <c r="Q627" s="2"/>
      <c r="R627" s="2"/>
      <c r="S627" s="2"/>
      <c r="T627" s="2"/>
      <c r="U627" s="2"/>
      <c r="V627" s="2"/>
      <c r="W627" s="2"/>
      <c r="X627" s="2"/>
      <c r="Y627" s="2"/>
    </row>
    <row r="628">
      <c r="A628" s="25"/>
      <c r="B628" s="25"/>
      <c r="C628" s="25"/>
      <c r="D628" s="26"/>
      <c r="E628" s="26"/>
      <c r="F628" s="25"/>
      <c r="G628" s="25"/>
      <c r="H628" s="25"/>
      <c r="I628" s="26"/>
      <c r="J628" s="26"/>
      <c r="K628" s="2"/>
      <c r="L628" s="2"/>
      <c r="M628" s="2"/>
      <c r="N628" s="2"/>
      <c r="O628" s="2"/>
      <c r="P628" s="2"/>
      <c r="Q628" s="2"/>
      <c r="R628" s="2"/>
      <c r="S628" s="2"/>
      <c r="T628" s="2"/>
      <c r="U628" s="2"/>
      <c r="V628" s="2"/>
      <c r="W628" s="2"/>
      <c r="X628" s="2"/>
      <c r="Y628" s="2"/>
    </row>
    <row r="629">
      <c r="A629" s="25"/>
      <c r="B629" s="25"/>
      <c r="C629" s="25"/>
      <c r="D629" s="26"/>
      <c r="E629" s="26"/>
      <c r="F629" s="25"/>
      <c r="G629" s="25"/>
      <c r="H629" s="25"/>
      <c r="I629" s="26"/>
      <c r="J629" s="26"/>
      <c r="K629" s="2"/>
      <c r="L629" s="2"/>
      <c r="M629" s="2"/>
      <c r="N629" s="2"/>
      <c r="O629" s="2"/>
      <c r="P629" s="2"/>
      <c r="Q629" s="2"/>
      <c r="R629" s="2"/>
      <c r="S629" s="2"/>
      <c r="T629" s="2"/>
      <c r="U629" s="2"/>
      <c r="V629" s="2"/>
      <c r="W629" s="2"/>
      <c r="X629" s="2"/>
      <c r="Y629" s="2"/>
    </row>
    <row r="630">
      <c r="A630" s="25"/>
      <c r="B630" s="25"/>
      <c r="C630" s="25"/>
      <c r="D630" s="26"/>
      <c r="E630" s="26"/>
      <c r="F630" s="25"/>
      <c r="G630" s="25"/>
      <c r="H630" s="25"/>
      <c r="I630" s="26"/>
      <c r="J630" s="26"/>
      <c r="K630" s="2"/>
      <c r="L630" s="2"/>
      <c r="M630" s="2"/>
      <c r="N630" s="2"/>
      <c r="O630" s="2"/>
      <c r="P630" s="2"/>
      <c r="Q630" s="2"/>
      <c r="R630" s="2"/>
      <c r="S630" s="2"/>
      <c r="T630" s="2"/>
      <c r="U630" s="2"/>
      <c r="V630" s="2"/>
      <c r="W630" s="2"/>
      <c r="X630" s="2"/>
      <c r="Y630" s="2"/>
    </row>
    <row r="631">
      <c r="A631" s="25"/>
      <c r="B631" s="25"/>
      <c r="C631" s="25"/>
      <c r="D631" s="26"/>
      <c r="E631" s="26"/>
      <c r="F631" s="25"/>
      <c r="G631" s="25"/>
      <c r="H631" s="25"/>
      <c r="I631" s="26"/>
      <c r="J631" s="26"/>
      <c r="K631" s="2"/>
      <c r="L631" s="2"/>
      <c r="M631" s="2"/>
      <c r="N631" s="2"/>
      <c r="O631" s="2"/>
      <c r="P631" s="2"/>
      <c r="Q631" s="2"/>
      <c r="R631" s="2"/>
      <c r="S631" s="2"/>
      <c r="T631" s="2"/>
      <c r="U631" s="2"/>
      <c r="V631" s="2"/>
      <c r="W631" s="2"/>
      <c r="X631" s="2"/>
      <c r="Y631" s="2"/>
    </row>
    <row r="632">
      <c r="A632" s="25"/>
      <c r="B632" s="25"/>
      <c r="C632" s="25"/>
      <c r="D632" s="26"/>
      <c r="E632" s="26"/>
      <c r="F632" s="25"/>
      <c r="G632" s="25"/>
      <c r="H632" s="25"/>
      <c r="I632" s="26"/>
      <c r="J632" s="26"/>
      <c r="K632" s="2"/>
      <c r="L632" s="2"/>
      <c r="M632" s="2"/>
      <c r="N632" s="2"/>
      <c r="O632" s="2"/>
      <c r="P632" s="2"/>
      <c r="Q632" s="2"/>
      <c r="R632" s="2"/>
      <c r="S632" s="2"/>
      <c r="T632" s="2"/>
      <c r="U632" s="2"/>
      <c r="V632" s="2"/>
      <c r="W632" s="2"/>
      <c r="X632" s="2"/>
      <c r="Y632" s="2"/>
    </row>
    <row r="633">
      <c r="A633" s="25"/>
      <c r="B633" s="25"/>
      <c r="C633" s="25"/>
      <c r="D633" s="26"/>
      <c r="E633" s="26"/>
      <c r="F633" s="25"/>
      <c r="G633" s="25"/>
      <c r="H633" s="25"/>
      <c r="I633" s="26"/>
      <c r="J633" s="26"/>
      <c r="K633" s="2"/>
      <c r="L633" s="2"/>
      <c r="M633" s="2"/>
      <c r="N633" s="2"/>
      <c r="O633" s="2"/>
      <c r="P633" s="2"/>
      <c r="Q633" s="2"/>
      <c r="R633" s="2"/>
      <c r="S633" s="2"/>
      <c r="T633" s="2"/>
      <c r="U633" s="2"/>
      <c r="V633" s="2"/>
      <c r="W633" s="2"/>
      <c r="X633" s="2"/>
      <c r="Y633" s="2"/>
    </row>
    <row r="634">
      <c r="A634" s="25"/>
      <c r="B634" s="25"/>
      <c r="C634" s="25"/>
      <c r="D634" s="26"/>
      <c r="E634" s="26"/>
      <c r="F634" s="25"/>
      <c r="G634" s="25"/>
      <c r="H634" s="25"/>
      <c r="I634" s="26"/>
      <c r="J634" s="26"/>
      <c r="K634" s="2"/>
      <c r="L634" s="2"/>
      <c r="M634" s="2"/>
      <c r="N634" s="2"/>
      <c r="O634" s="2"/>
      <c r="P634" s="2"/>
      <c r="Q634" s="2"/>
      <c r="R634" s="2"/>
      <c r="S634" s="2"/>
      <c r="T634" s="2"/>
      <c r="U634" s="2"/>
      <c r="V634" s="2"/>
      <c r="W634" s="2"/>
      <c r="X634" s="2"/>
      <c r="Y634" s="2"/>
    </row>
    <row r="635">
      <c r="A635" s="25"/>
      <c r="B635" s="25"/>
      <c r="C635" s="25"/>
      <c r="D635" s="26"/>
      <c r="E635" s="26"/>
      <c r="F635" s="25"/>
      <c r="G635" s="25"/>
      <c r="H635" s="25"/>
      <c r="I635" s="26"/>
      <c r="J635" s="26"/>
      <c r="K635" s="2"/>
      <c r="L635" s="2"/>
      <c r="M635" s="2"/>
      <c r="N635" s="2"/>
      <c r="O635" s="2"/>
      <c r="P635" s="2"/>
      <c r="Q635" s="2"/>
      <c r="R635" s="2"/>
      <c r="S635" s="2"/>
      <c r="T635" s="2"/>
      <c r="U635" s="2"/>
      <c r="V635" s="2"/>
      <c r="W635" s="2"/>
      <c r="X635" s="2"/>
      <c r="Y635" s="2"/>
    </row>
    <row r="636">
      <c r="A636" s="25"/>
      <c r="B636" s="25"/>
      <c r="C636" s="25"/>
      <c r="D636" s="26"/>
      <c r="E636" s="26"/>
      <c r="F636" s="25"/>
      <c r="G636" s="25"/>
      <c r="H636" s="25"/>
      <c r="I636" s="26"/>
      <c r="J636" s="26"/>
      <c r="K636" s="2"/>
      <c r="L636" s="2"/>
      <c r="M636" s="2"/>
      <c r="N636" s="2"/>
      <c r="O636" s="2"/>
      <c r="P636" s="2"/>
      <c r="Q636" s="2"/>
      <c r="R636" s="2"/>
      <c r="S636" s="2"/>
      <c r="T636" s="2"/>
      <c r="U636" s="2"/>
      <c r="V636" s="2"/>
      <c r="W636" s="2"/>
      <c r="X636" s="2"/>
      <c r="Y636" s="2"/>
    </row>
    <row r="637">
      <c r="A637" s="25"/>
      <c r="B637" s="25"/>
      <c r="C637" s="25"/>
      <c r="D637" s="26"/>
      <c r="E637" s="26"/>
      <c r="F637" s="25"/>
      <c r="G637" s="25"/>
      <c r="H637" s="25"/>
      <c r="I637" s="26"/>
      <c r="J637" s="26"/>
      <c r="K637" s="2"/>
      <c r="L637" s="2"/>
      <c r="M637" s="2"/>
      <c r="N637" s="2"/>
      <c r="O637" s="2"/>
      <c r="P637" s="2"/>
      <c r="Q637" s="2"/>
      <c r="R637" s="2"/>
      <c r="S637" s="2"/>
      <c r="T637" s="2"/>
      <c r="U637" s="2"/>
      <c r="V637" s="2"/>
      <c r="W637" s="2"/>
      <c r="X637" s="2"/>
      <c r="Y637" s="2"/>
    </row>
    <row r="638">
      <c r="A638" s="25"/>
      <c r="B638" s="25"/>
      <c r="C638" s="25"/>
      <c r="D638" s="26"/>
      <c r="E638" s="26"/>
      <c r="F638" s="25"/>
      <c r="G638" s="25"/>
      <c r="H638" s="25"/>
      <c r="I638" s="26"/>
      <c r="J638" s="26"/>
      <c r="K638" s="2"/>
      <c r="L638" s="2"/>
      <c r="M638" s="2"/>
      <c r="N638" s="2"/>
      <c r="O638" s="2"/>
      <c r="P638" s="2"/>
      <c r="Q638" s="2"/>
      <c r="R638" s="2"/>
      <c r="S638" s="2"/>
      <c r="T638" s="2"/>
      <c r="U638" s="2"/>
      <c r="V638" s="2"/>
      <c r="W638" s="2"/>
      <c r="X638" s="2"/>
      <c r="Y638" s="2"/>
    </row>
    <row r="639">
      <c r="A639" s="25"/>
      <c r="B639" s="25"/>
      <c r="C639" s="25"/>
      <c r="D639" s="26"/>
      <c r="E639" s="26"/>
      <c r="F639" s="25"/>
      <c r="G639" s="25"/>
      <c r="H639" s="25"/>
      <c r="I639" s="26"/>
      <c r="J639" s="26"/>
      <c r="K639" s="2"/>
      <c r="L639" s="2"/>
      <c r="M639" s="2"/>
      <c r="N639" s="2"/>
      <c r="O639" s="2"/>
      <c r="P639" s="2"/>
      <c r="Q639" s="2"/>
      <c r="R639" s="2"/>
      <c r="S639" s="2"/>
      <c r="T639" s="2"/>
      <c r="U639" s="2"/>
      <c r="V639" s="2"/>
      <c r="W639" s="2"/>
      <c r="X639" s="2"/>
      <c r="Y639" s="2"/>
    </row>
    <row r="640">
      <c r="A640" s="25"/>
      <c r="B640" s="25"/>
      <c r="C640" s="25"/>
      <c r="D640" s="26"/>
      <c r="E640" s="26"/>
      <c r="F640" s="25"/>
      <c r="G640" s="25"/>
      <c r="H640" s="25"/>
      <c r="I640" s="26"/>
      <c r="J640" s="26"/>
      <c r="K640" s="2"/>
      <c r="L640" s="2"/>
      <c r="M640" s="2"/>
      <c r="N640" s="2"/>
      <c r="O640" s="2"/>
      <c r="P640" s="2"/>
      <c r="Q640" s="2"/>
      <c r="R640" s="2"/>
      <c r="S640" s="2"/>
      <c r="T640" s="2"/>
      <c r="U640" s="2"/>
      <c r="V640" s="2"/>
      <c r="W640" s="2"/>
      <c r="X640" s="2"/>
      <c r="Y640" s="2"/>
    </row>
    <row r="641">
      <c r="A641" s="25"/>
      <c r="B641" s="25"/>
      <c r="C641" s="25"/>
      <c r="D641" s="26"/>
      <c r="E641" s="26"/>
      <c r="F641" s="25"/>
      <c r="G641" s="25"/>
      <c r="H641" s="25"/>
      <c r="I641" s="26"/>
      <c r="J641" s="26"/>
      <c r="K641" s="2"/>
      <c r="L641" s="2"/>
      <c r="M641" s="2"/>
      <c r="N641" s="2"/>
      <c r="O641" s="2"/>
      <c r="P641" s="2"/>
      <c r="Q641" s="2"/>
      <c r="R641" s="2"/>
      <c r="S641" s="2"/>
      <c r="T641" s="2"/>
      <c r="U641" s="2"/>
      <c r="V641" s="2"/>
      <c r="W641" s="2"/>
      <c r="X641" s="2"/>
      <c r="Y641" s="2"/>
    </row>
    <row r="642">
      <c r="A642" s="25"/>
      <c r="B642" s="25"/>
      <c r="C642" s="25"/>
      <c r="D642" s="26"/>
      <c r="E642" s="26"/>
      <c r="F642" s="25"/>
      <c r="G642" s="25"/>
      <c r="H642" s="25"/>
      <c r="I642" s="26"/>
      <c r="J642" s="26"/>
      <c r="K642" s="2"/>
      <c r="L642" s="2"/>
      <c r="M642" s="2"/>
      <c r="N642" s="2"/>
      <c r="O642" s="2"/>
      <c r="P642" s="2"/>
      <c r="Q642" s="2"/>
      <c r="R642" s="2"/>
      <c r="S642" s="2"/>
      <c r="T642" s="2"/>
      <c r="U642" s="2"/>
      <c r="V642" s="2"/>
      <c r="W642" s="2"/>
      <c r="X642" s="2"/>
      <c r="Y642" s="2"/>
    </row>
    <row r="643">
      <c r="A643" s="25"/>
      <c r="B643" s="25"/>
      <c r="C643" s="25"/>
      <c r="D643" s="26"/>
      <c r="E643" s="26"/>
      <c r="F643" s="25"/>
      <c r="G643" s="25"/>
      <c r="H643" s="25"/>
      <c r="I643" s="26"/>
      <c r="J643" s="26"/>
      <c r="K643" s="2"/>
      <c r="L643" s="2"/>
      <c r="M643" s="2"/>
      <c r="N643" s="2"/>
      <c r="O643" s="2"/>
      <c r="P643" s="2"/>
      <c r="Q643" s="2"/>
      <c r="R643" s="2"/>
      <c r="S643" s="2"/>
      <c r="T643" s="2"/>
      <c r="U643" s="2"/>
      <c r="V643" s="2"/>
      <c r="W643" s="2"/>
      <c r="X643" s="2"/>
      <c r="Y643" s="2"/>
    </row>
    <row r="644">
      <c r="A644" s="25"/>
      <c r="B644" s="25"/>
      <c r="C644" s="25"/>
      <c r="D644" s="26"/>
      <c r="E644" s="26"/>
      <c r="F644" s="25"/>
      <c r="G644" s="25"/>
      <c r="H644" s="25"/>
      <c r="I644" s="26"/>
      <c r="J644" s="26"/>
      <c r="K644" s="2"/>
      <c r="L644" s="2"/>
      <c r="M644" s="2"/>
      <c r="N644" s="2"/>
      <c r="O644" s="2"/>
      <c r="P644" s="2"/>
      <c r="Q644" s="2"/>
      <c r="R644" s="2"/>
      <c r="S644" s="2"/>
      <c r="T644" s="2"/>
      <c r="U644" s="2"/>
      <c r="V644" s="2"/>
      <c r="W644" s="2"/>
      <c r="X644" s="2"/>
      <c r="Y644" s="2"/>
    </row>
    <row r="645">
      <c r="A645" s="25"/>
      <c r="B645" s="25"/>
      <c r="C645" s="25"/>
      <c r="D645" s="26"/>
      <c r="E645" s="26"/>
      <c r="F645" s="25"/>
      <c r="G645" s="25"/>
      <c r="H645" s="25"/>
      <c r="I645" s="26"/>
      <c r="J645" s="26"/>
      <c r="K645" s="2"/>
      <c r="L645" s="2"/>
      <c r="M645" s="2"/>
      <c r="N645" s="2"/>
      <c r="O645" s="2"/>
      <c r="P645" s="2"/>
      <c r="Q645" s="2"/>
      <c r="R645" s="2"/>
      <c r="S645" s="2"/>
      <c r="T645" s="2"/>
      <c r="U645" s="2"/>
      <c r="V645" s="2"/>
      <c r="W645" s="2"/>
      <c r="X645" s="2"/>
      <c r="Y645" s="2"/>
    </row>
    <row r="646">
      <c r="A646" s="25"/>
      <c r="B646" s="25"/>
      <c r="C646" s="25"/>
      <c r="D646" s="26"/>
      <c r="E646" s="26"/>
      <c r="F646" s="25"/>
      <c r="G646" s="25"/>
      <c r="H646" s="25"/>
      <c r="I646" s="26"/>
      <c r="J646" s="26"/>
      <c r="K646" s="2"/>
      <c r="L646" s="2"/>
      <c r="M646" s="2"/>
      <c r="N646" s="2"/>
      <c r="O646" s="2"/>
      <c r="P646" s="2"/>
      <c r="Q646" s="2"/>
      <c r="R646" s="2"/>
      <c r="S646" s="2"/>
      <c r="T646" s="2"/>
      <c r="U646" s="2"/>
      <c r="V646" s="2"/>
      <c r="W646" s="2"/>
      <c r="X646" s="2"/>
      <c r="Y646" s="2"/>
    </row>
    <row r="647">
      <c r="A647" s="25"/>
      <c r="B647" s="25"/>
      <c r="C647" s="25"/>
      <c r="D647" s="26"/>
      <c r="E647" s="26"/>
      <c r="F647" s="25"/>
      <c r="G647" s="25"/>
      <c r="H647" s="25"/>
      <c r="I647" s="26"/>
      <c r="J647" s="26"/>
      <c r="K647" s="2"/>
      <c r="L647" s="2"/>
      <c r="M647" s="2"/>
      <c r="N647" s="2"/>
      <c r="O647" s="2"/>
      <c r="P647" s="2"/>
      <c r="Q647" s="2"/>
      <c r="R647" s="2"/>
      <c r="S647" s="2"/>
      <c r="T647" s="2"/>
      <c r="U647" s="2"/>
      <c r="V647" s="2"/>
      <c r="W647" s="2"/>
      <c r="X647" s="2"/>
      <c r="Y647" s="2"/>
    </row>
    <row r="648">
      <c r="A648" s="25"/>
      <c r="B648" s="25"/>
      <c r="C648" s="25"/>
      <c r="D648" s="26"/>
      <c r="E648" s="26"/>
      <c r="F648" s="25"/>
      <c r="G648" s="25"/>
      <c r="H648" s="25"/>
      <c r="I648" s="26"/>
      <c r="J648" s="26"/>
      <c r="K648" s="2"/>
      <c r="L648" s="2"/>
      <c r="M648" s="2"/>
      <c r="N648" s="2"/>
      <c r="O648" s="2"/>
      <c r="P648" s="2"/>
      <c r="Q648" s="2"/>
      <c r="R648" s="2"/>
      <c r="S648" s="2"/>
      <c r="T648" s="2"/>
      <c r="U648" s="2"/>
      <c r="V648" s="2"/>
      <c r="W648" s="2"/>
      <c r="X648" s="2"/>
      <c r="Y648" s="2"/>
    </row>
    <row r="649">
      <c r="A649" s="25"/>
      <c r="B649" s="25"/>
      <c r="C649" s="25"/>
      <c r="D649" s="26"/>
      <c r="E649" s="26"/>
      <c r="F649" s="25"/>
      <c r="G649" s="25"/>
      <c r="H649" s="25"/>
      <c r="I649" s="26"/>
      <c r="J649" s="26"/>
      <c r="K649" s="2"/>
      <c r="L649" s="2"/>
      <c r="M649" s="2"/>
      <c r="N649" s="2"/>
      <c r="O649" s="2"/>
      <c r="P649" s="2"/>
      <c r="Q649" s="2"/>
      <c r="R649" s="2"/>
      <c r="S649" s="2"/>
      <c r="T649" s="2"/>
      <c r="U649" s="2"/>
      <c r="V649" s="2"/>
      <c r="W649" s="2"/>
      <c r="X649" s="2"/>
      <c r="Y649" s="2"/>
    </row>
    <row r="650">
      <c r="A650" s="25"/>
      <c r="B650" s="25"/>
      <c r="C650" s="25"/>
      <c r="D650" s="26"/>
      <c r="E650" s="26"/>
      <c r="F650" s="25"/>
      <c r="G650" s="25"/>
      <c r="H650" s="25"/>
      <c r="I650" s="26"/>
      <c r="J650" s="26"/>
      <c r="K650" s="2"/>
      <c r="L650" s="2"/>
      <c r="M650" s="2"/>
      <c r="N650" s="2"/>
      <c r="O650" s="2"/>
      <c r="P650" s="2"/>
      <c r="Q650" s="2"/>
      <c r="R650" s="2"/>
      <c r="S650" s="2"/>
      <c r="T650" s="2"/>
      <c r="U650" s="2"/>
      <c r="V650" s="2"/>
      <c r="W650" s="2"/>
      <c r="X650" s="2"/>
      <c r="Y650" s="2"/>
    </row>
    <row r="651">
      <c r="A651" s="25"/>
      <c r="B651" s="25"/>
      <c r="C651" s="25"/>
      <c r="D651" s="26"/>
      <c r="E651" s="26"/>
      <c r="F651" s="25"/>
      <c r="G651" s="25"/>
      <c r="H651" s="25"/>
      <c r="I651" s="26"/>
      <c r="J651" s="26"/>
      <c r="K651" s="2"/>
      <c r="L651" s="2"/>
      <c r="M651" s="2"/>
      <c r="N651" s="2"/>
      <c r="O651" s="2"/>
      <c r="P651" s="2"/>
      <c r="Q651" s="2"/>
      <c r="R651" s="2"/>
      <c r="S651" s="2"/>
      <c r="T651" s="2"/>
      <c r="U651" s="2"/>
      <c r="V651" s="2"/>
      <c r="W651" s="2"/>
      <c r="X651" s="2"/>
      <c r="Y651" s="2"/>
    </row>
    <row r="652">
      <c r="A652" s="25"/>
      <c r="B652" s="25"/>
      <c r="C652" s="25"/>
      <c r="D652" s="26"/>
      <c r="E652" s="26"/>
      <c r="F652" s="25"/>
      <c r="G652" s="25"/>
      <c r="H652" s="25"/>
      <c r="I652" s="26"/>
      <c r="J652" s="26"/>
      <c r="K652" s="2"/>
      <c r="L652" s="2"/>
      <c r="M652" s="2"/>
      <c r="N652" s="2"/>
      <c r="O652" s="2"/>
      <c r="P652" s="2"/>
      <c r="Q652" s="2"/>
      <c r="R652" s="2"/>
      <c r="S652" s="2"/>
      <c r="T652" s="2"/>
      <c r="U652" s="2"/>
      <c r="V652" s="2"/>
      <c r="W652" s="2"/>
      <c r="X652" s="2"/>
      <c r="Y652" s="2"/>
    </row>
    <row r="653">
      <c r="A653" s="25"/>
      <c r="B653" s="25"/>
      <c r="C653" s="25"/>
      <c r="D653" s="26"/>
      <c r="E653" s="26"/>
      <c r="F653" s="25"/>
      <c r="G653" s="25"/>
      <c r="H653" s="25"/>
      <c r="I653" s="26"/>
      <c r="J653" s="26"/>
      <c r="K653" s="2"/>
      <c r="L653" s="2"/>
      <c r="M653" s="2"/>
      <c r="N653" s="2"/>
      <c r="O653" s="2"/>
      <c r="P653" s="2"/>
      <c r="Q653" s="2"/>
      <c r="R653" s="2"/>
      <c r="S653" s="2"/>
      <c r="T653" s="2"/>
      <c r="U653" s="2"/>
      <c r="V653" s="2"/>
      <c r="W653" s="2"/>
      <c r="X653" s="2"/>
      <c r="Y653" s="2"/>
    </row>
    <row r="654">
      <c r="A654" s="25"/>
      <c r="B654" s="25"/>
      <c r="C654" s="25"/>
      <c r="D654" s="26"/>
      <c r="E654" s="26"/>
      <c r="F654" s="25"/>
      <c r="G654" s="25"/>
      <c r="H654" s="25"/>
      <c r="I654" s="26"/>
      <c r="J654" s="26"/>
      <c r="K654" s="2"/>
      <c r="L654" s="2"/>
      <c r="M654" s="2"/>
      <c r="N654" s="2"/>
      <c r="O654" s="2"/>
      <c r="P654" s="2"/>
      <c r="Q654" s="2"/>
      <c r="R654" s="2"/>
      <c r="S654" s="2"/>
      <c r="T654" s="2"/>
      <c r="U654" s="2"/>
      <c r="V654" s="2"/>
      <c r="W654" s="2"/>
      <c r="X654" s="2"/>
      <c r="Y654" s="2"/>
    </row>
    <row r="655">
      <c r="A655" s="25"/>
      <c r="B655" s="25"/>
      <c r="C655" s="25"/>
      <c r="D655" s="26"/>
      <c r="E655" s="26"/>
      <c r="F655" s="25"/>
      <c r="G655" s="25"/>
      <c r="H655" s="25"/>
      <c r="I655" s="26"/>
      <c r="J655" s="26"/>
      <c r="K655" s="2"/>
      <c r="L655" s="2"/>
      <c r="M655" s="2"/>
      <c r="N655" s="2"/>
      <c r="O655" s="2"/>
      <c r="P655" s="2"/>
      <c r="Q655" s="2"/>
      <c r="R655" s="2"/>
      <c r="S655" s="2"/>
      <c r="T655" s="2"/>
      <c r="U655" s="2"/>
      <c r="V655" s="2"/>
      <c r="W655" s="2"/>
      <c r="X655" s="2"/>
      <c r="Y655" s="2"/>
    </row>
    <row r="656">
      <c r="A656" s="25"/>
      <c r="B656" s="25"/>
      <c r="C656" s="25"/>
      <c r="D656" s="26"/>
      <c r="E656" s="26"/>
      <c r="F656" s="25"/>
      <c r="G656" s="25"/>
      <c r="H656" s="25"/>
      <c r="I656" s="26"/>
      <c r="J656" s="26"/>
      <c r="K656" s="2"/>
      <c r="L656" s="2"/>
      <c r="M656" s="2"/>
      <c r="N656" s="2"/>
      <c r="O656" s="2"/>
      <c r="P656" s="2"/>
      <c r="Q656" s="2"/>
      <c r="R656" s="2"/>
      <c r="S656" s="2"/>
      <c r="T656" s="2"/>
      <c r="U656" s="2"/>
      <c r="V656" s="2"/>
      <c r="W656" s="2"/>
      <c r="X656" s="2"/>
      <c r="Y656" s="2"/>
    </row>
    <row r="657">
      <c r="A657" s="25"/>
      <c r="B657" s="25"/>
      <c r="C657" s="25"/>
      <c r="D657" s="26"/>
      <c r="E657" s="26"/>
      <c r="F657" s="25"/>
      <c r="G657" s="25"/>
      <c r="H657" s="25"/>
      <c r="I657" s="26"/>
      <c r="J657" s="26"/>
      <c r="K657" s="2"/>
      <c r="L657" s="2"/>
      <c r="M657" s="2"/>
      <c r="N657" s="2"/>
      <c r="O657" s="2"/>
      <c r="P657" s="2"/>
      <c r="Q657" s="2"/>
      <c r="R657" s="2"/>
      <c r="S657" s="2"/>
      <c r="T657" s="2"/>
      <c r="U657" s="2"/>
      <c r="V657" s="2"/>
      <c r="W657" s="2"/>
      <c r="X657" s="2"/>
      <c r="Y657" s="2"/>
    </row>
    <row r="658">
      <c r="A658" s="25"/>
      <c r="B658" s="25"/>
      <c r="C658" s="25"/>
      <c r="D658" s="26"/>
      <c r="E658" s="26"/>
      <c r="F658" s="25"/>
      <c r="G658" s="25"/>
      <c r="H658" s="25"/>
      <c r="I658" s="26"/>
      <c r="J658" s="26"/>
      <c r="K658" s="2"/>
      <c r="L658" s="2"/>
      <c r="M658" s="2"/>
      <c r="N658" s="2"/>
      <c r="O658" s="2"/>
      <c r="P658" s="2"/>
      <c r="Q658" s="2"/>
      <c r="R658" s="2"/>
      <c r="S658" s="2"/>
      <c r="T658" s="2"/>
      <c r="U658" s="2"/>
      <c r="V658" s="2"/>
      <c r="W658" s="2"/>
      <c r="X658" s="2"/>
      <c r="Y658" s="2"/>
    </row>
    <row r="659">
      <c r="A659" s="25"/>
      <c r="B659" s="25"/>
      <c r="C659" s="25"/>
      <c r="D659" s="26"/>
      <c r="E659" s="26"/>
      <c r="F659" s="25"/>
      <c r="G659" s="25"/>
      <c r="H659" s="25"/>
      <c r="I659" s="26"/>
      <c r="J659" s="26"/>
      <c r="K659" s="2"/>
      <c r="L659" s="2"/>
      <c r="M659" s="2"/>
      <c r="N659" s="2"/>
      <c r="O659" s="2"/>
      <c r="P659" s="2"/>
      <c r="Q659" s="2"/>
      <c r="R659" s="2"/>
      <c r="S659" s="2"/>
      <c r="T659" s="2"/>
      <c r="U659" s="2"/>
      <c r="V659" s="2"/>
      <c r="W659" s="2"/>
      <c r="X659" s="2"/>
      <c r="Y659" s="2"/>
    </row>
    <row r="660">
      <c r="A660" s="25"/>
      <c r="B660" s="25"/>
      <c r="C660" s="25"/>
      <c r="D660" s="26"/>
      <c r="E660" s="26"/>
      <c r="F660" s="25"/>
      <c r="G660" s="25"/>
      <c r="H660" s="25"/>
      <c r="I660" s="26"/>
      <c r="J660" s="26"/>
      <c r="K660" s="2"/>
      <c r="L660" s="2"/>
      <c r="M660" s="2"/>
      <c r="N660" s="2"/>
      <c r="O660" s="2"/>
      <c r="P660" s="2"/>
      <c r="Q660" s="2"/>
      <c r="R660" s="2"/>
      <c r="S660" s="2"/>
      <c r="T660" s="2"/>
      <c r="U660" s="2"/>
      <c r="V660" s="2"/>
      <c r="W660" s="2"/>
      <c r="X660" s="2"/>
      <c r="Y660" s="2"/>
    </row>
    <row r="661">
      <c r="A661" s="25"/>
      <c r="B661" s="25"/>
      <c r="C661" s="25"/>
      <c r="D661" s="26"/>
      <c r="E661" s="26"/>
      <c r="F661" s="25"/>
      <c r="G661" s="25"/>
      <c r="H661" s="25"/>
      <c r="I661" s="26"/>
      <c r="J661" s="26"/>
      <c r="K661" s="2"/>
      <c r="L661" s="2"/>
      <c r="M661" s="2"/>
      <c r="N661" s="2"/>
      <c r="O661" s="2"/>
      <c r="P661" s="2"/>
      <c r="Q661" s="2"/>
      <c r="R661" s="2"/>
      <c r="S661" s="2"/>
      <c r="T661" s="2"/>
      <c r="U661" s="2"/>
      <c r="V661" s="2"/>
      <c r="W661" s="2"/>
      <c r="X661" s="2"/>
      <c r="Y661" s="2"/>
    </row>
    <row r="662">
      <c r="A662" s="25"/>
      <c r="B662" s="25"/>
      <c r="C662" s="25"/>
      <c r="D662" s="26"/>
      <c r="E662" s="26"/>
      <c r="F662" s="25"/>
      <c r="G662" s="25"/>
      <c r="H662" s="25"/>
      <c r="I662" s="26"/>
      <c r="J662" s="26"/>
      <c r="K662" s="2"/>
      <c r="L662" s="2"/>
      <c r="M662" s="2"/>
      <c r="N662" s="2"/>
      <c r="O662" s="2"/>
      <c r="P662" s="2"/>
      <c r="Q662" s="2"/>
      <c r="R662" s="2"/>
      <c r="S662" s="2"/>
      <c r="T662" s="2"/>
      <c r="U662" s="2"/>
      <c r="V662" s="2"/>
      <c r="W662" s="2"/>
      <c r="X662" s="2"/>
      <c r="Y662" s="2"/>
    </row>
    <row r="663">
      <c r="A663" s="25"/>
      <c r="B663" s="25"/>
      <c r="C663" s="25"/>
      <c r="D663" s="26"/>
      <c r="E663" s="26"/>
      <c r="F663" s="25"/>
      <c r="G663" s="25"/>
      <c r="H663" s="25"/>
      <c r="I663" s="26"/>
      <c r="J663" s="26"/>
      <c r="K663" s="2"/>
      <c r="L663" s="2"/>
      <c r="M663" s="2"/>
      <c r="N663" s="2"/>
      <c r="O663" s="2"/>
      <c r="P663" s="2"/>
      <c r="Q663" s="2"/>
      <c r="R663" s="2"/>
      <c r="S663" s="2"/>
      <c r="T663" s="2"/>
      <c r="U663" s="2"/>
      <c r="V663" s="2"/>
      <c r="W663" s="2"/>
      <c r="X663" s="2"/>
      <c r="Y663" s="2"/>
    </row>
    <row r="664">
      <c r="A664" s="25"/>
      <c r="B664" s="25"/>
      <c r="C664" s="25"/>
      <c r="D664" s="26"/>
      <c r="E664" s="26"/>
      <c r="F664" s="25"/>
      <c r="G664" s="25"/>
      <c r="H664" s="25"/>
      <c r="I664" s="26"/>
      <c r="J664" s="26"/>
      <c r="K664" s="2"/>
      <c r="L664" s="2"/>
      <c r="M664" s="2"/>
      <c r="N664" s="2"/>
      <c r="O664" s="2"/>
      <c r="P664" s="2"/>
      <c r="Q664" s="2"/>
      <c r="R664" s="2"/>
      <c r="S664" s="2"/>
      <c r="T664" s="2"/>
      <c r="U664" s="2"/>
      <c r="V664" s="2"/>
      <c r="W664" s="2"/>
      <c r="X664" s="2"/>
      <c r="Y664" s="2"/>
    </row>
    <row r="665">
      <c r="A665" s="25"/>
      <c r="B665" s="25"/>
      <c r="C665" s="25"/>
      <c r="D665" s="26"/>
      <c r="E665" s="26"/>
      <c r="F665" s="25"/>
      <c r="G665" s="25"/>
      <c r="H665" s="25"/>
      <c r="I665" s="26"/>
      <c r="J665" s="26"/>
      <c r="K665" s="2"/>
      <c r="L665" s="2"/>
      <c r="M665" s="2"/>
      <c r="N665" s="2"/>
      <c r="O665" s="2"/>
      <c r="P665" s="2"/>
      <c r="Q665" s="2"/>
      <c r="R665" s="2"/>
      <c r="S665" s="2"/>
      <c r="T665" s="2"/>
      <c r="U665" s="2"/>
      <c r="V665" s="2"/>
      <c r="W665" s="2"/>
      <c r="X665" s="2"/>
      <c r="Y665" s="2"/>
    </row>
    <row r="666">
      <c r="A666" s="25"/>
      <c r="B666" s="25"/>
      <c r="C666" s="25"/>
      <c r="D666" s="26"/>
      <c r="E666" s="26"/>
      <c r="F666" s="25"/>
      <c r="G666" s="25"/>
      <c r="H666" s="25"/>
      <c r="I666" s="26"/>
      <c r="J666" s="26"/>
      <c r="K666" s="2"/>
      <c r="L666" s="2"/>
      <c r="M666" s="2"/>
      <c r="N666" s="2"/>
      <c r="O666" s="2"/>
      <c r="P666" s="2"/>
      <c r="Q666" s="2"/>
      <c r="R666" s="2"/>
      <c r="S666" s="2"/>
      <c r="T666" s="2"/>
      <c r="U666" s="2"/>
      <c r="V666" s="2"/>
      <c r="W666" s="2"/>
      <c r="X666" s="2"/>
      <c r="Y666" s="2"/>
    </row>
    <row r="667">
      <c r="A667" s="25"/>
      <c r="B667" s="25"/>
      <c r="C667" s="25"/>
      <c r="D667" s="26"/>
      <c r="E667" s="26"/>
      <c r="F667" s="25"/>
      <c r="G667" s="25"/>
      <c r="H667" s="25"/>
      <c r="I667" s="26"/>
      <c r="J667" s="26"/>
      <c r="K667" s="2"/>
      <c r="L667" s="2"/>
      <c r="M667" s="2"/>
      <c r="N667" s="2"/>
      <c r="O667" s="2"/>
      <c r="P667" s="2"/>
      <c r="Q667" s="2"/>
      <c r="R667" s="2"/>
      <c r="S667" s="2"/>
      <c r="T667" s="2"/>
      <c r="U667" s="2"/>
      <c r="V667" s="2"/>
      <c r="W667" s="2"/>
      <c r="X667" s="2"/>
      <c r="Y667" s="2"/>
    </row>
    <row r="668">
      <c r="A668" s="25"/>
      <c r="B668" s="25"/>
      <c r="C668" s="25"/>
      <c r="D668" s="26"/>
      <c r="E668" s="26"/>
      <c r="F668" s="25"/>
      <c r="G668" s="25"/>
      <c r="H668" s="25"/>
      <c r="I668" s="26"/>
      <c r="J668" s="26"/>
      <c r="K668" s="2"/>
      <c r="L668" s="2"/>
      <c r="M668" s="2"/>
      <c r="N668" s="2"/>
      <c r="O668" s="2"/>
      <c r="P668" s="2"/>
      <c r="Q668" s="2"/>
      <c r="R668" s="2"/>
      <c r="S668" s="2"/>
      <c r="T668" s="2"/>
      <c r="U668" s="2"/>
      <c r="V668" s="2"/>
      <c r="W668" s="2"/>
      <c r="X668" s="2"/>
      <c r="Y668" s="2"/>
    </row>
    <row r="669">
      <c r="A669" s="25"/>
      <c r="B669" s="25"/>
      <c r="C669" s="25"/>
      <c r="D669" s="26"/>
      <c r="E669" s="26"/>
      <c r="F669" s="25"/>
      <c r="G669" s="25"/>
      <c r="H669" s="25"/>
      <c r="I669" s="26"/>
      <c r="J669" s="26"/>
      <c r="K669" s="2"/>
      <c r="L669" s="2"/>
      <c r="M669" s="2"/>
      <c r="N669" s="2"/>
      <c r="O669" s="2"/>
      <c r="P669" s="2"/>
      <c r="Q669" s="2"/>
      <c r="R669" s="2"/>
      <c r="S669" s="2"/>
      <c r="T669" s="2"/>
      <c r="U669" s="2"/>
      <c r="V669" s="2"/>
      <c r="W669" s="2"/>
      <c r="X669" s="2"/>
      <c r="Y669" s="2"/>
    </row>
    <row r="670">
      <c r="A670" s="25"/>
      <c r="B670" s="25"/>
      <c r="C670" s="25"/>
      <c r="D670" s="26"/>
      <c r="E670" s="26"/>
      <c r="F670" s="25"/>
      <c r="G670" s="25"/>
      <c r="H670" s="25"/>
      <c r="I670" s="26"/>
      <c r="J670" s="26"/>
      <c r="K670" s="2"/>
      <c r="L670" s="2"/>
      <c r="M670" s="2"/>
      <c r="N670" s="2"/>
      <c r="O670" s="2"/>
      <c r="P670" s="2"/>
      <c r="Q670" s="2"/>
      <c r="R670" s="2"/>
      <c r="S670" s="2"/>
      <c r="T670" s="2"/>
      <c r="U670" s="2"/>
      <c r="V670" s="2"/>
      <c r="W670" s="2"/>
      <c r="X670" s="2"/>
      <c r="Y670" s="2"/>
    </row>
    <row r="671">
      <c r="A671" s="25"/>
      <c r="B671" s="25"/>
      <c r="C671" s="25"/>
      <c r="D671" s="26"/>
      <c r="E671" s="26"/>
      <c r="F671" s="25"/>
      <c r="G671" s="25"/>
      <c r="H671" s="25"/>
      <c r="I671" s="26"/>
      <c r="J671" s="26"/>
      <c r="K671" s="2"/>
      <c r="L671" s="2"/>
      <c r="M671" s="2"/>
      <c r="N671" s="2"/>
      <c r="O671" s="2"/>
      <c r="P671" s="2"/>
      <c r="Q671" s="2"/>
      <c r="R671" s="2"/>
      <c r="S671" s="2"/>
      <c r="T671" s="2"/>
      <c r="U671" s="2"/>
      <c r="V671" s="2"/>
      <c r="W671" s="2"/>
      <c r="X671" s="2"/>
      <c r="Y671" s="2"/>
    </row>
    <row r="672">
      <c r="A672" s="25"/>
      <c r="B672" s="25"/>
      <c r="C672" s="25"/>
      <c r="D672" s="26"/>
      <c r="E672" s="26"/>
      <c r="F672" s="25"/>
      <c r="G672" s="25"/>
      <c r="H672" s="25"/>
      <c r="I672" s="26"/>
      <c r="J672" s="26"/>
      <c r="K672" s="2"/>
      <c r="L672" s="2"/>
      <c r="M672" s="2"/>
      <c r="N672" s="2"/>
      <c r="O672" s="2"/>
      <c r="P672" s="2"/>
      <c r="Q672" s="2"/>
      <c r="R672" s="2"/>
      <c r="S672" s="2"/>
      <c r="T672" s="2"/>
      <c r="U672" s="2"/>
      <c r="V672" s="2"/>
      <c r="W672" s="2"/>
      <c r="X672" s="2"/>
      <c r="Y672" s="2"/>
    </row>
    <row r="673">
      <c r="A673" s="25"/>
      <c r="B673" s="25"/>
      <c r="C673" s="25"/>
      <c r="D673" s="26"/>
      <c r="E673" s="26"/>
      <c r="F673" s="25"/>
      <c r="G673" s="25"/>
      <c r="H673" s="25"/>
      <c r="I673" s="26"/>
      <c r="J673" s="26"/>
      <c r="K673" s="2"/>
      <c r="L673" s="2"/>
      <c r="M673" s="2"/>
      <c r="N673" s="2"/>
      <c r="O673" s="2"/>
      <c r="P673" s="2"/>
      <c r="Q673" s="2"/>
      <c r="R673" s="2"/>
      <c r="S673" s="2"/>
      <c r="T673" s="2"/>
      <c r="U673" s="2"/>
      <c r="V673" s="2"/>
      <c r="W673" s="2"/>
      <c r="X673" s="2"/>
      <c r="Y673" s="2"/>
    </row>
    <row r="674">
      <c r="A674" s="25"/>
      <c r="B674" s="25"/>
      <c r="C674" s="25"/>
      <c r="D674" s="26"/>
      <c r="E674" s="26"/>
      <c r="F674" s="25"/>
      <c r="G674" s="25"/>
      <c r="H674" s="25"/>
      <c r="I674" s="26"/>
      <c r="J674" s="26"/>
      <c r="K674" s="2"/>
      <c r="L674" s="2"/>
      <c r="M674" s="2"/>
      <c r="N674" s="2"/>
      <c r="O674" s="2"/>
      <c r="P674" s="2"/>
      <c r="Q674" s="2"/>
      <c r="R674" s="2"/>
      <c r="S674" s="2"/>
      <c r="T674" s="2"/>
      <c r="U674" s="2"/>
      <c r="V674" s="2"/>
      <c r="W674" s="2"/>
      <c r="X674" s="2"/>
      <c r="Y674" s="2"/>
    </row>
    <row r="675">
      <c r="A675" s="25"/>
      <c r="B675" s="25"/>
      <c r="C675" s="25"/>
      <c r="D675" s="26"/>
      <c r="E675" s="26"/>
      <c r="F675" s="25"/>
      <c r="G675" s="25"/>
      <c r="H675" s="25"/>
      <c r="I675" s="26"/>
      <c r="J675" s="26"/>
      <c r="K675" s="2"/>
      <c r="L675" s="2"/>
      <c r="M675" s="2"/>
      <c r="N675" s="2"/>
      <c r="O675" s="2"/>
      <c r="P675" s="2"/>
      <c r="Q675" s="2"/>
      <c r="R675" s="2"/>
      <c r="S675" s="2"/>
      <c r="T675" s="2"/>
      <c r="U675" s="2"/>
      <c r="V675" s="2"/>
      <c r="W675" s="2"/>
      <c r="X675" s="2"/>
      <c r="Y675" s="2"/>
    </row>
    <row r="676">
      <c r="A676" s="25"/>
      <c r="B676" s="25"/>
      <c r="C676" s="25"/>
      <c r="D676" s="26"/>
      <c r="E676" s="26"/>
      <c r="F676" s="25"/>
      <c r="G676" s="25"/>
      <c r="H676" s="25"/>
      <c r="I676" s="26"/>
      <c r="J676" s="26"/>
      <c r="K676" s="2"/>
      <c r="L676" s="2"/>
      <c r="M676" s="2"/>
      <c r="N676" s="2"/>
      <c r="O676" s="2"/>
      <c r="P676" s="2"/>
      <c r="Q676" s="2"/>
      <c r="R676" s="2"/>
      <c r="S676" s="2"/>
      <c r="T676" s="2"/>
      <c r="U676" s="2"/>
      <c r="V676" s="2"/>
      <c r="W676" s="2"/>
      <c r="X676" s="2"/>
      <c r="Y676" s="2"/>
    </row>
    <row r="677">
      <c r="A677" s="25"/>
      <c r="B677" s="25"/>
      <c r="C677" s="25"/>
      <c r="D677" s="26"/>
      <c r="E677" s="26"/>
      <c r="F677" s="25"/>
      <c r="G677" s="25"/>
      <c r="H677" s="25"/>
      <c r="I677" s="26"/>
      <c r="J677" s="26"/>
      <c r="K677" s="2"/>
      <c r="L677" s="2"/>
      <c r="M677" s="2"/>
      <c r="N677" s="2"/>
      <c r="O677" s="2"/>
      <c r="P677" s="2"/>
      <c r="Q677" s="2"/>
      <c r="R677" s="2"/>
      <c r="S677" s="2"/>
      <c r="T677" s="2"/>
      <c r="U677" s="2"/>
      <c r="V677" s="2"/>
      <c r="W677" s="2"/>
      <c r="X677" s="2"/>
      <c r="Y677" s="2"/>
    </row>
    <row r="678">
      <c r="A678" s="25"/>
      <c r="B678" s="25"/>
      <c r="C678" s="25"/>
      <c r="D678" s="26"/>
      <c r="E678" s="26"/>
      <c r="F678" s="25"/>
      <c r="G678" s="25"/>
      <c r="H678" s="25"/>
      <c r="I678" s="26"/>
      <c r="J678" s="26"/>
      <c r="K678" s="2"/>
      <c r="L678" s="2"/>
      <c r="M678" s="2"/>
      <c r="N678" s="2"/>
      <c r="O678" s="2"/>
      <c r="P678" s="2"/>
      <c r="Q678" s="2"/>
      <c r="R678" s="2"/>
      <c r="S678" s="2"/>
      <c r="T678" s="2"/>
      <c r="U678" s="2"/>
      <c r="V678" s="2"/>
      <c r="W678" s="2"/>
      <c r="X678" s="2"/>
      <c r="Y678" s="2"/>
    </row>
    <row r="679">
      <c r="A679" s="25"/>
      <c r="B679" s="25"/>
      <c r="C679" s="25"/>
      <c r="D679" s="26"/>
      <c r="E679" s="26"/>
      <c r="F679" s="25"/>
      <c r="G679" s="25"/>
      <c r="H679" s="25"/>
      <c r="I679" s="26"/>
      <c r="J679" s="26"/>
      <c r="K679" s="2"/>
      <c r="L679" s="2"/>
      <c r="M679" s="2"/>
      <c r="N679" s="2"/>
      <c r="O679" s="2"/>
      <c r="P679" s="2"/>
      <c r="Q679" s="2"/>
      <c r="R679" s="2"/>
      <c r="S679" s="2"/>
      <c r="T679" s="2"/>
      <c r="U679" s="2"/>
      <c r="V679" s="2"/>
      <c r="W679" s="2"/>
      <c r="X679" s="2"/>
      <c r="Y679" s="2"/>
    </row>
    <row r="680">
      <c r="A680" s="25"/>
      <c r="B680" s="25"/>
      <c r="C680" s="25"/>
      <c r="D680" s="26"/>
      <c r="E680" s="26"/>
      <c r="F680" s="25"/>
      <c r="G680" s="25"/>
      <c r="H680" s="25"/>
      <c r="I680" s="26"/>
      <c r="J680" s="26"/>
      <c r="K680" s="2"/>
      <c r="L680" s="2"/>
      <c r="M680" s="2"/>
      <c r="N680" s="2"/>
      <c r="O680" s="2"/>
      <c r="P680" s="2"/>
      <c r="Q680" s="2"/>
      <c r="R680" s="2"/>
      <c r="S680" s="2"/>
      <c r="T680" s="2"/>
      <c r="U680" s="2"/>
      <c r="V680" s="2"/>
      <c r="W680" s="2"/>
      <c r="X680" s="2"/>
      <c r="Y680" s="2"/>
    </row>
    <row r="681">
      <c r="A681" s="25"/>
      <c r="B681" s="25"/>
      <c r="C681" s="25"/>
      <c r="D681" s="26"/>
      <c r="E681" s="26"/>
      <c r="F681" s="25"/>
      <c r="G681" s="25"/>
      <c r="H681" s="25"/>
      <c r="I681" s="26"/>
      <c r="J681" s="26"/>
      <c r="K681" s="2"/>
      <c r="L681" s="2"/>
      <c r="M681" s="2"/>
      <c r="N681" s="2"/>
      <c r="O681" s="2"/>
      <c r="P681" s="2"/>
      <c r="Q681" s="2"/>
      <c r="R681" s="2"/>
      <c r="S681" s="2"/>
      <c r="T681" s="2"/>
      <c r="U681" s="2"/>
      <c r="V681" s="2"/>
      <c r="W681" s="2"/>
      <c r="X681" s="2"/>
      <c r="Y681" s="2"/>
    </row>
    <row r="682">
      <c r="A682" s="25"/>
      <c r="B682" s="25"/>
      <c r="C682" s="25"/>
      <c r="D682" s="26"/>
      <c r="E682" s="26"/>
      <c r="F682" s="25"/>
      <c r="G682" s="25"/>
      <c r="H682" s="25"/>
      <c r="I682" s="26"/>
      <c r="J682" s="26"/>
      <c r="K682" s="2"/>
      <c r="L682" s="2"/>
      <c r="M682" s="2"/>
      <c r="N682" s="2"/>
      <c r="O682" s="2"/>
      <c r="P682" s="2"/>
      <c r="Q682" s="2"/>
      <c r="R682" s="2"/>
      <c r="S682" s="2"/>
      <c r="T682" s="2"/>
      <c r="U682" s="2"/>
      <c r="V682" s="2"/>
      <c r="W682" s="2"/>
      <c r="X682" s="2"/>
      <c r="Y682" s="2"/>
    </row>
    <row r="683">
      <c r="A683" s="25"/>
      <c r="B683" s="25"/>
      <c r="C683" s="25"/>
      <c r="D683" s="26"/>
      <c r="E683" s="26"/>
      <c r="F683" s="25"/>
      <c r="G683" s="25"/>
      <c r="H683" s="25"/>
      <c r="I683" s="26"/>
      <c r="J683" s="26"/>
      <c r="K683" s="2"/>
      <c r="L683" s="2"/>
      <c r="M683" s="2"/>
      <c r="N683" s="2"/>
      <c r="O683" s="2"/>
      <c r="P683" s="2"/>
      <c r="Q683" s="2"/>
      <c r="R683" s="2"/>
      <c r="S683" s="2"/>
      <c r="T683" s="2"/>
      <c r="U683" s="2"/>
      <c r="V683" s="2"/>
      <c r="W683" s="2"/>
      <c r="X683" s="2"/>
      <c r="Y683" s="2"/>
    </row>
    <row r="684">
      <c r="A684" s="25"/>
      <c r="B684" s="25"/>
      <c r="C684" s="25"/>
      <c r="D684" s="26"/>
      <c r="E684" s="26"/>
      <c r="F684" s="25"/>
      <c r="G684" s="25"/>
      <c r="H684" s="25"/>
      <c r="I684" s="26"/>
      <c r="J684" s="26"/>
      <c r="K684" s="2"/>
      <c r="L684" s="2"/>
      <c r="M684" s="2"/>
      <c r="N684" s="2"/>
      <c r="O684" s="2"/>
      <c r="P684" s="2"/>
      <c r="Q684" s="2"/>
      <c r="R684" s="2"/>
      <c r="S684" s="2"/>
      <c r="T684" s="2"/>
      <c r="U684" s="2"/>
      <c r="V684" s="2"/>
      <c r="W684" s="2"/>
      <c r="X684" s="2"/>
      <c r="Y684" s="2"/>
    </row>
    <row r="685">
      <c r="A685" s="25"/>
      <c r="B685" s="25"/>
      <c r="C685" s="25"/>
      <c r="D685" s="26"/>
      <c r="E685" s="26"/>
      <c r="F685" s="25"/>
      <c r="G685" s="25"/>
      <c r="H685" s="25"/>
      <c r="I685" s="26"/>
      <c r="J685" s="26"/>
      <c r="K685" s="2"/>
      <c r="L685" s="2"/>
      <c r="M685" s="2"/>
      <c r="N685" s="2"/>
      <c r="O685" s="2"/>
      <c r="P685" s="2"/>
      <c r="Q685" s="2"/>
      <c r="R685" s="2"/>
      <c r="S685" s="2"/>
      <c r="T685" s="2"/>
      <c r="U685" s="2"/>
      <c r="V685" s="2"/>
      <c r="W685" s="2"/>
      <c r="X685" s="2"/>
      <c r="Y685" s="2"/>
    </row>
    <row r="686">
      <c r="A686" s="25"/>
      <c r="B686" s="25"/>
      <c r="C686" s="25"/>
      <c r="D686" s="26"/>
      <c r="E686" s="26"/>
      <c r="F686" s="25"/>
      <c r="G686" s="25"/>
      <c r="H686" s="25"/>
      <c r="I686" s="26"/>
      <c r="J686" s="26"/>
      <c r="K686" s="2"/>
      <c r="L686" s="2"/>
      <c r="M686" s="2"/>
      <c r="N686" s="2"/>
      <c r="O686" s="2"/>
      <c r="P686" s="2"/>
      <c r="Q686" s="2"/>
      <c r="R686" s="2"/>
      <c r="S686" s="2"/>
      <c r="T686" s="2"/>
      <c r="U686" s="2"/>
      <c r="V686" s="2"/>
      <c r="W686" s="2"/>
      <c r="X686" s="2"/>
      <c r="Y686" s="2"/>
    </row>
    <row r="687">
      <c r="A687" s="25"/>
      <c r="B687" s="25"/>
      <c r="C687" s="25"/>
      <c r="D687" s="26"/>
      <c r="E687" s="26"/>
      <c r="F687" s="25"/>
      <c r="G687" s="25"/>
      <c r="H687" s="25"/>
      <c r="I687" s="26"/>
      <c r="J687" s="26"/>
      <c r="K687" s="2"/>
      <c r="L687" s="2"/>
      <c r="M687" s="2"/>
      <c r="N687" s="2"/>
      <c r="O687" s="2"/>
      <c r="P687" s="2"/>
      <c r="Q687" s="2"/>
      <c r="R687" s="2"/>
      <c r="S687" s="2"/>
      <c r="T687" s="2"/>
      <c r="U687" s="2"/>
      <c r="V687" s="2"/>
      <c r="W687" s="2"/>
      <c r="X687" s="2"/>
      <c r="Y687" s="2"/>
    </row>
    <row r="688">
      <c r="A688" s="25"/>
      <c r="B688" s="25"/>
      <c r="C688" s="25"/>
      <c r="D688" s="26"/>
      <c r="E688" s="26"/>
      <c r="F688" s="25"/>
      <c r="G688" s="25"/>
      <c r="H688" s="25"/>
      <c r="I688" s="26"/>
      <c r="J688" s="26"/>
      <c r="K688" s="2"/>
      <c r="L688" s="2"/>
      <c r="M688" s="2"/>
      <c r="N688" s="2"/>
      <c r="O688" s="2"/>
      <c r="P688" s="2"/>
      <c r="Q688" s="2"/>
      <c r="R688" s="2"/>
      <c r="S688" s="2"/>
      <c r="T688" s="2"/>
      <c r="U688" s="2"/>
      <c r="V688" s="2"/>
      <c r="W688" s="2"/>
      <c r="X688" s="2"/>
      <c r="Y688" s="2"/>
    </row>
    <row r="689">
      <c r="A689" s="25"/>
      <c r="B689" s="25"/>
      <c r="C689" s="25"/>
      <c r="D689" s="26"/>
      <c r="E689" s="26"/>
      <c r="F689" s="25"/>
      <c r="G689" s="25"/>
      <c r="H689" s="25"/>
      <c r="I689" s="26"/>
      <c r="J689" s="26"/>
      <c r="K689" s="2"/>
      <c r="L689" s="2"/>
      <c r="M689" s="2"/>
      <c r="N689" s="2"/>
      <c r="O689" s="2"/>
      <c r="P689" s="2"/>
      <c r="Q689" s="2"/>
      <c r="R689" s="2"/>
      <c r="S689" s="2"/>
      <c r="T689" s="2"/>
      <c r="U689" s="2"/>
      <c r="V689" s="2"/>
      <c r="W689" s="2"/>
      <c r="X689" s="2"/>
      <c r="Y689" s="2"/>
    </row>
    <row r="690">
      <c r="A690" s="25"/>
      <c r="B690" s="25"/>
      <c r="C690" s="25"/>
      <c r="D690" s="26"/>
      <c r="E690" s="26"/>
      <c r="F690" s="25"/>
      <c r="G690" s="25"/>
      <c r="H690" s="25"/>
      <c r="I690" s="26"/>
      <c r="J690" s="26"/>
      <c r="K690" s="2"/>
      <c r="L690" s="2"/>
      <c r="M690" s="2"/>
      <c r="N690" s="2"/>
      <c r="O690" s="2"/>
      <c r="P690" s="2"/>
      <c r="Q690" s="2"/>
      <c r="R690" s="2"/>
      <c r="S690" s="2"/>
      <c r="T690" s="2"/>
      <c r="U690" s="2"/>
      <c r="V690" s="2"/>
      <c r="W690" s="2"/>
      <c r="X690" s="2"/>
      <c r="Y690" s="2"/>
    </row>
    <row r="691">
      <c r="A691" s="25"/>
      <c r="B691" s="25"/>
      <c r="C691" s="25"/>
      <c r="D691" s="26"/>
      <c r="E691" s="26"/>
      <c r="F691" s="25"/>
      <c r="G691" s="25"/>
      <c r="H691" s="25"/>
      <c r="I691" s="26"/>
      <c r="J691" s="26"/>
      <c r="K691" s="2"/>
      <c r="L691" s="2"/>
      <c r="M691" s="2"/>
      <c r="N691" s="2"/>
      <c r="O691" s="2"/>
      <c r="P691" s="2"/>
      <c r="Q691" s="2"/>
      <c r="R691" s="2"/>
      <c r="S691" s="2"/>
      <c r="T691" s="2"/>
      <c r="U691" s="2"/>
      <c r="V691" s="2"/>
      <c r="W691" s="2"/>
      <c r="X691" s="2"/>
      <c r="Y691" s="2"/>
    </row>
    <row r="692">
      <c r="A692" s="25"/>
      <c r="B692" s="25"/>
      <c r="C692" s="25"/>
      <c r="D692" s="26"/>
      <c r="E692" s="26"/>
      <c r="F692" s="25"/>
      <c r="G692" s="25"/>
      <c r="H692" s="25"/>
      <c r="I692" s="26"/>
      <c r="J692" s="26"/>
      <c r="K692" s="2"/>
      <c r="L692" s="2"/>
      <c r="M692" s="2"/>
      <c r="N692" s="2"/>
      <c r="O692" s="2"/>
      <c r="P692" s="2"/>
      <c r="Q692" s="2"/>
      <c r="R692" s="2"/>
      <c r="S692" s="2"/>
      <c r="T692" s="2"/>
      <c r="U692" s="2"/>
      <c r="V692" s="2"/>
      <c r="W692" s="2"/>
      <c r="X692" s="2"/>
      <c r="Y692" s="2"/>
    </row>
    <row r="693">
      <c r="A693" s="25"/>
      <c r="B693" s="25"/>
      <c r="C693" s="25"/>
      <c r="D693" s="26"/>
      <c r="E693" s="26"/>
      <c r="F693" s="25"/>
      <c r="G693" s="25"/>
      <c r="H693" s="25"/>
      <c r="I693" s="26"/>
      <c r="J693" s="26"/>
      <c r="K693" s="2"/>
      <c r="L693" s="2"/>
      <c r="M693" s="2"/>
      <c r="N693" s="2"/>
      <c r="O693" s="2"/>
      <c r="P693" s="2"/>
      <c r="Q693" s="2"/>
      <c r="R693" s="2"/>
      <c r="S693" s="2"/>
      <c r="T693" s="2"/>
      <c r="U693" s="2"/>
      <c r="V693" s="2"/>
      <c r="W693" s="2"/>
      <c r="X693" s="2"/>
      <c r="Y693" s="2"/>
    </row>
    <row r="694">
      <c r="A694" s="25"/>
      <c r="B694" s="25"/>
      <c r="C694" s="25"/>
      <c r="D694" s="26"/>
      <c r="E694" s="26"/>
      <c r="F694" s="25"/>
      <c r="G694" s="25"/>
      <c r="H694" s="25"/>
      <c r="I694" s="26"/>
      <c r="J694" s="26"/>
      <c r="K694" s="2"/>
      <c r="L694" s="2"/>
      <c r="M694" s="2"/>
      <c r="N694" s="2"/>
      <c r="O694" s="2"/>
      <c r="P694" s="2"/>
      <c r="Q694" s="2"/>
      <c r="R694" s="2"/>
      <c r="S694" s="2"/>
      <c r="T694" s="2"/>
      <c r="U694" s="2"/>
      <c r="V694" s="2"/>
      <c r="W694" s="2"/>
      <c r="X694" s="2"/>
      <c r="Y694" s="2"/>
    </row>
    <row r="695">
      <c r="A695" s="25"/>
      <c r="B695" s="25"/>
      <c r="C695" s="25"/>
      <c r="D695" s="26"/>
      <c r="E695" s="26"/>
      <c r="F695" s="25"/>
      <c r="G695" s="25"/>
      <c r="H695" s="25"/>
      <c r="I695" s="26"/>
      <c r="J695" s="26"/>
      <c r="K695" s="2"/>
      <c r="L695" s="2"/>
      <c r="M695" s="2"/>
      <c r="N695" s="2"/>
      <c r="O695" s="2"/>
      <c r="P695" s="2"/>
      <c r="Q695" s="2"/>
      <c r="R695" s="2"/>
      <c r="S695" s="2"/>
      <c r="T695" s="2"/>
      <c r="U695" s="2"/>
      <c r="V695" s="2"/>
      <c r="W695" s="2"/>
      <c r="X695" s="2"/>
      <c r="Y695" s="2"/>
    </row>
    <row r="696">
      <c r="A696" s="25"/>
      <c r="B696" s="25"/>
      <c r="C696" s="25"/>
      <c r="D696" s="26"/>
      <c r="E696" s="26"/>
      <c r="F696" s="25"/>
      <c r="G696" s="25"/>
      <c r="H696" s="25"/>
      <c r="I696" s="26"/>
      <c r="J696" s="26"/>
      <c r="K696" s="2"/>
      <c r="L696" s="2"/>
      <c r="M696" s="2"/>
      <c r="N696" s="2"/>
      <c r="O696" s="2"/>
      <c r="P696" s="2"/>
      <c r="Q696" s="2"/>
      <c r="R696" s="2"/>
      <c r="S696" s="2"/>
      <c r="T696" s="2"/>
      <c r="U696" s="2"/>
      <c r="V696" s="2"/>
      <c r="W696" s="2"/>
      <c r="X696" s="2"/>
      <c r="Y696" s="2"/>
    </row>
    <row r="697">
      <c r="A697" s="25"/>
      <c r="B697" s="25"/>
      <c r="C697" s="25"/>
      <c r="D697" s="26"/>
      <c r="E697" s="26"/>
      <c r="F697" s="25"/>
      <c r="G697" s="25"/>
      <c r="H697" s="25"/>
      <c r="I697" s="26"/>
      <c r="J697" s="26"/>
      <c r="K697" s="2"/>
      <c r="L697" s="2"/>
      <c r="M697" s="2"/>
      <c r="N697" s="2"/>
      <c r="O697" s="2"/>
      <c r="P697" s="2"/>
      <c r="Q697" s="2"/>
      <c r="R697" s="2"/>
      <c r="S697" s="2"/>
      <c r="T697" s="2"/>
      <c r="U697" s="2"/>
      <c r="V697" s="2"/>
      <c r="W697" s="2"/>
      <c r="X697" s="2"/>
      <c r="Y697" s="2"/>
    </row>
    <row r="698">
      <c r="A698" s="25"/>
      <c r="B698" s="25"/>
      <c r="C698" s="25"/>
      <c r="D698" s="26"/>
      <c r="E698" s="26"/>
      <c r="F698" s="25"/>
      <c r="G698" s="25"/>
      <c r="H698" s="25"/>
      <c r="I698" s="26"/>
      <c r="J698" s="26"/>
      <c r="K698" s="2"/>
      <c r="L698" s="2"/>
      <c r="M698" s="2"/>
      <c r="N698" s="2"/>
      <c r="O698" s="2"/>
      <c r="P698" s="2"/>
      <c r="Q698" s="2"/>
      <c r="R698" s="2"/>
      <c r="S698" s="2"/>
      <c r="T698" s="2"/>
      <c r="U698" s="2"/>
      <c r="V698" s="2"/>
      <c r="W698" s="2"/>
      <c r="X698" s="2"/>
      <c r="Y698" s="2"/>
    </row>
    <row r="699">
      <c r="A699" s="25"/>
      <c r="B699" s="25"/>
      <c r="C699" s="25"/>
      <c r="D699" s="26"/>
      <c r="E699" s="26"/>
      <c r="F699" s="25"/>
      <c r="G699" s="25"/>
      <c r="H699" s="25"/>
      <c r="I699" s="26"/>
      <c r="J699" s="26"/>
      <c r="K699" s="2"/>
      <c r="L699" s="2"/>
      <c r="M699" s="2"/>
      <c r="N699" s="2"/>
      <c r="O699" s="2"/>
      <c r="P699" s="2"/>
      <c r="Q699" s="2"/>
      <c r="R699" s="2"/>
      <c r="S699" s="2"/>
      <c r="T699" s="2"/>
      <c r="U699" s="2"/>
      <c r="V699" s="2"/>
      <c r="W699" s="2"/>
      <c r="X699" s="2"/>
      <c r="Y699" s="2"/>
    </row>
    <row r="700">
      <c r="A700" s="25"/>
      <c r="B700" s="25"/>
      <c r="C700" s="25"/>
      <c r="D700" s="26"/>
      <c r="E700" s="26"/>
      <c r="F700" s="25"/>
      <c r="G700" s="25"/>
      <c r="H700" s="25"/>
      <c r="I700" s="26"/>
      <c r="J700" s="26"/>
      <c r="K700" s="2"/>
      <c r="L700" s="2"/>
      <c r="M700" s="2"/>
      <c r="N700" s="2"/>
      <c r="O700" s="2"/>
      <c r="P700" s="2"/>
      <c r="Q700" s="2"/>
      <c r="R700" s="2"/>
      <c r="S700" s="2"/>
      <c r="T700" s="2"/>
      <c r="U700" s="2"/>
      <c r="V700" s="2"/>
      <c r="W700" s="2"/>
      <c r="X700" s="2"/>
      <c r="Y700" s="2"/>
    </row>
    <row r="701">
      <c r="A701" s="25"/>
      <c r="B701" s="25"/>
      <c r="C701" s="25"/>
      <c r="D701" s="26"/>
      <c r="E701" s="26"/>
      <c r="F701" s="25"/>
      <c r="G701" s="25"/>
      <c r="H701" s="25"/>
      <c r="I701" s="26"/>
      <c r="J701" s="26"/>
      <c r="K701" s="2"/>
      <c r="L701" s="2"/>
      <c r="M701" s="2"/>
      <c r="N701" s="2"/>
      <c r="O701" s="2"/>
      <c r="P701" s="2"/>
      <c r="Q701" s="2"/>
      <c r="R701" s="2"/>
      <c r="S701" s="2"/>
      <c r="T701" s="2"/>
      <c r="U701" s="2"/>
      <c r="V701" s="2"/>
      <c r="W701" s="2"/>
      <c r="X701" s="2"/>
      <c r="Y701" s="2"/>
    </row>
    <row r="702">
      <c r="A702" s="25"/>
      <c r="B702" s="25"/>
      <c r="C702" s="25"/>
      <c r="D702" s="26"/>
      <c r="E702" s="26"/>
      <c r="F702" s="25"/>
      <c r="G702" s="25"/>
      <c r="H702" s="25"/>
      <c r="I702" s="26"/>
      <c r="J702" s="26"/>
      <c r="K702" s="2"/>
      <c r="L702" s="2"/>
      <c r="M702" s="2"/>
      <c r="N702" s="2"/>
      <c r="O702" s="2"/>
      <c r="P702" s="2"/>
      <c r="Q702" s="2"/>
      <c r="R702" s="2"/>
      <c r="S702" s="2"/>
      <c r="T702" s="2"/>
      <c r="U702" s="2"/>
      <c r="V702" s="2"/>
      <c r="W702" s="2"/>
      <c r="X702" s="2"/>
      <c r="Y702" s="2"/>
    </row>
    <row r="703">
      <c r="A703" s="25"/>
      <c r="B703" s="25"/>
      <c r="C703" s="25"/>
      <c r="D703" s="26"/>
      <c r="E703" s="26"/>
      <c r="F703" s="25"/>
      <c r="G703" s="25"/>
      <c r="H703" s="25"/>
      <c r="I703" s="26"/>
      <c r="J703" s="26"/>
      <c r="K703" s="2"/>
      <c r="L703" s="2"/>
      <c r="M703" s="2"/>
      <c r="N703" s="2"/>
      <c r="O703" s="2"/>
      <c r="P703" s="2"/>
      <c r="Q703" s="2"/>
      <c r="R703" s="2"/>
      <c r="S703" s="2"/>
      <c r="T703" s="2"/>
      <c r="U703" s="2"/>
      <c r="V703" s="2"/>
      <c r="W703" s="2"/>
      <c r="X703" s="2"/>
      <c r="Y703" s="2"/>
    </row>
    <row r="704">
      <c r="A704" s="25"/>
      <c r="B704" s="25"/>
      <c r="C704" s="25"/>
      <c r="D704" s="26"/>
      <c r="E704" s="26"/>
      <c r="F704" s="25"/>
      <c r="G704" s="25"/>
      <c r="H704" s="25"/>
      <c r="I704" s="26"/>
      <c r="J704" s="26"/>
      <c r="K704" s="2"/>
      <c r="L704" s="2"/>
      <c r="M704" s="2"/>
      <c r="N704" s="2"/>
      <c r="O704" s="2"/>
      <c r="P704" s="2"/>
      <c r="Q704" s="2"/>
      <c r="R704" s="2"/>
      <c r="S704" s="2"/>
      <c r="T704" s="2"/>
      <c r="U704" s="2"/>
      <c r="V704" s="2"/>
      <c r="W704" s="2"/>
      <c r="X704" s="2"/>
      <c r="Y704" s="2"/>
    </row>
    <row r="705">
      <c r="A705" s="25"/>
      <c r="B705" s="25"/>
      <c r="C705" s="25"/>
      <c r="D705" s="26"/>
      <c r="E705" s="26"/>
      <c r="F705" s="25"/>
      <c r="G705" s="25"/>
      <c r="H705" s="25"/>
      <c r="I705" s="26"/>
      <c r="J705" s="26"/>
      <c r="K705" s="2"/>
      <c r="L705" s="2"/>
      <c r="M705" s="2"/>
      <c r="N705" s="2"/>
      <c r="O705" s="2"/>
      <c r="P705" s="2"/>
      <c r="Q705" s="2"/>
      <c r="R705" s="2"/>
      <c r="S705" s="2"/>
      <c r="T705" s="2"/>
      <c r="U705" s="2"/>
      <c r="V705" s="2"/>
      <c r="W705" s="2"/>
      <c r="X705" s="2"/>
      <c r="Y705" s="2"/>
    </row>
    <row r="706">
      <c r="A706" s="25"/>
      <c r="B706" s="25"/>
      <c r="C706" s="25"/>
      <c r="D706" s="26"/>
      <c r="E706" s="26"/>
      <c r="F706" s="25"/>
      <c r="G706" s="25"/>
      <c r="H706" s="25"/>
      <c r="I706" s="26"/>
      <c r="J706" s="26"/>
      <c r="K706" s="2"/>
      <c r="L706" s="2"/>
      <c r="M706" s="2"/>
      <c r="N706" s="2"/>
      <c r="O706" s="2"/>
      <c r="P706" s="2"/>
      <c r="Q706" s="2"/>
      <c r="R706" s="2"/>
      <c r="S706" s="2"/>
      <c r="T706" s="2"/>
      <c r="U706" s="2"/>
      <c r="V706" s="2"/>
      <c r="W706" s="2"/>
      <c r="X706" s="2"/>
      <c r="Y706" s="2"/>
    </row>
    <row r="707">
      <c r="A707" s="25"/>
      <c r="B707" s="25"/>
      <c r="C707" s="25"/>
      <c r="D707" s="26"/>
      <c r="E707" s="26"/>
      <c r="F707" s="25"/>
      <c r="G707" s="25"/>
      <c r="H707" s="25"/>
      <c r="I707" s="26"/>
      <c r="J707" s="26"/>
      <c r="K707" s="2"/>
      <c r="L707" s="2"/>
      <c r="M707" s="2"/>
      <c r="N707" s="2"/>
      <c r="O707" s="2"/>
      <c r="P707" s="2"/>
      <c r="Q707" s="2"/>
      <c r="R707" s="2"/>
      <c r="S707" s="2"/>
      <c r="T707" s="2"/>
      <c r="U707" s="2"/>
      <c r="V707" s="2"/>
      <c r="W707" s="2"/>
      <c r="X707" s="2"/>
      <c r="Y707" s="2"/>
    </row>
    <row r="708">
      <c r="A708" s="25"/>
      <c r="B708" s="25"/>
      <c r="C708" s="25"/>
      <c r="D708" s="26"/>
      <c r="E708" s="26"/>
      <c r="F708" s="25"/>
      <c r="G708" s="25"/>
      <c r="H708" s="25"/>
      <c r="I708" s="26"/>
      <c r="J708" s="26"/>
      <c r="K708" s="2"/>
      <c r="L708" s="2"/>
      <c r="M708" s="2"/>
      <c r="N708" s="2"/>
      <c r="O708" s="2"/>
      <c r="P708" s="2"/>
      <c r="Q708" s="2"/>
      <c r="R708" s="2"/>
      <c r="S708" s="2"/>
      <c r="T708" s="2"/>
      <c r="U708" s="2"/>
      <c r="V708" s="2"/>
      <c r="W708" s="2"/>
      <c r="X708" s="2"/>
      <c r="Y708" s="2"/>
    </row>
    <row r="709">
      <c r="A709" s="25"/>
      <c r="B709" s="25"/>
      <c r="C709" s="25"/>
      <c r="D709" s="26"/>
      <c r="E709" s="26"/>
      <c r="F709" s="25"/>
      <c r="G709" s="25"/>
      <c r="H709" s="25"/>
      <c r="I709" s="26"/>
      <c r="J709" s="26"/>
      <c r="K709" s="2"/>
      <c r="L709" s="2"/>
      <c r="M709" s="2"/>
      <c r="N709" s="2"/>
      <c r="O709" s="2"/>
      <c r="P709" s="2"/>
      <c r="Q709" s="2"/>
      <c r="R709" s="2"/>
      <c r="S709" s="2"/>
      <c r="T709" s="2"/>
      <c r="U709" s="2"/>
      <c r="V709" s="2"/>
      <c r="W709" s="2"/>
      <c r="X709" s="2"/>
      <c r="Y709" s="2"/>
    </row>
    <row r="710">
      <c r="A710" s="25"/>
      <c r="B710" s="25"/>
      <c r="C710" s="25"/>
      <c r="D710" s="26"/>
      <c r="E710" s="26"/>
      <c r="F710" s="25"/>
      <c r="G710" s="25"/>
      <c r="H710" s="25"/>
      <c r="I710" s="26"/>
      <c r="J710" s="26"/>
      <c r="K710" s="2"/>
      <c r="L710" s="2"/>
      <c r="M710" s="2"/>
      <c r="N710" s="2"/>
      <c r="O710" s="2"/>
      <c r="P710" s="2"/>
      <c r="Q710" s="2"/>
      <c r="R710" s="2"/>
      <c r="S710" s="2"/>
      <c r="T710" s="2"/>
      <c r="U710" s="2"/>
      <c r="V710" s="2"/>
      <c r="W710" s="2"/>
      <c r="X710" s="2"/>
      <c r="Y710" s="2"/>
    </row>
    <row r="711">
      <c r="A711" s="25"/>
      <c r="B711" s="25"/>
      <c r="C711" s="25"/>
      <c r="D711" s="26"/>
      <c r="E711" s="26"/>
      <c r="F711" s="25"/>
      <c r="G711" s="25"/>
      <c r="H711" s="25"/>
      <c r="I711" s="26"/>
      <c r="J711" s="26"/>
      <c r="K711" s="2"/>
      <c r="L711" s="2"/>
      <c r="M711" s="2"/>
      <c r="N711" s="2"/>
      <c r="O711" s="2"/>
      <c r="P711" s="2"/>
      <c r="Q711" s="2"/>
      <c r="R711" s="2"/>
      <c r="S711" s="2"/>
      <c r="T711" s="2"/>
      <c r="U711" s="2"/>
      <c r="V711" s="2"/>
      <c r="W711" s="2"/>
      <c r="X711" s="2"/>
      <c r="Y711" s="2"/>
    </row>
    <row r="712">
      <c r="A712" s="25"/>
      <c r="B712" s="25"/>
      <c r="C712" s="25"/>
      <c r="D712" s="26"/>
      <c r="E712" s="26"/>
      <c r="F712" s="25"/>
      <c r="G712" s="25"/>
      <c r="H712" s="25"/>
      <c r="I712" s="26"/>
      <c r="J712" s="26"/>
      <c r="K712" s="2"/>
      <c r="L712" s="2"/>
      <c r="M712" s="2"/>
      <c r="N712" s="2"/>
      <c r="O712" s="2"/>
      <c r="P712" s="2"/>
      <c r="Q712" s="2"/>
      <c r="R712" s="2"/>
      <c r="S712" s="2"/>
      <c r="T712" s="2"/>
      <c r="U712" s="2"/>
      <c r="V712" s="2"/>
      <c r="W712" s="2"/>
      <c r="X712" s="2"/>
      <c r="Y712" s="2"/>
    </row>
    <row r="713">
      <c r="A713" s="25"/>
      <c r="B713" s="25"/>
      <c r="C713" s="25"/>
      <c r="D713" s="26"/>
      <c r="E713" s="26"/>
      <c r="F713" s="25"/>
      <c r="G713" s="25"/>
      <c r="H713" s="25"/>
      <c r="I713" s="26"/>
      <c r="J713" s="26"/>
      <c r="K713" s="2"/>
      <c r="L713" s="2"/>
      <c r="M713" s="2"/>
      <c r="N713" s="2"/>
      <c r="O713" s="2"/>
      <c r="P713" s="2"/>
      <c r="Q713" s="2"/>
      <c r="R713" s="2"/>
      <c r="S713" s="2"/>
      <c r="T713" s="2"/>
      <c r="U713" s="2"/>
      <c r="V713" s="2"/>
      <c r="W713" s="2"/>
      <c r="X713" s="2"/>
      <c r="Y713" s="2"/>
    </row>
    <row r="714">
      <c r="A714" s="25"/>
      <c r="B714" s="25"/>
      <c r="C714" s="25"/>
      <c r="D714" s="26"/>
      <c r="E714" s="26"/>
      <c r="F714" s="25"/>
      <c r="G714" s="25"/>
      <c r="H714" s="25"/>
      <c r="I714" s="26"/>
      <c r="J714" s="26"/>
      <c r="K714" s="2"/>
      <c r="L714" s="2"/>
      <c r="M714" s="2"/>
      <c r="N714" s="2"/>
      <c r="O714" s="2"/>
      <c r="P714" s="2"/>
      <c r="Q714" s="2"/>
      <c r="R714" s="2"/>
      <c r="S714" s="2"/>
      <c r="T714" s="2"/>
      <c r="U714" s="2"/>
      <c r="V714" s="2"/>
      <c r="W714" s="2"/>
      <c r="X714" s="2"/>
      <c r="Y714" s="2"/>
    </row>
    <row r="715">
      <c r="A715" s="25"/>
      <c r="B715" s="25"/>
      <c r="C715" s="25"/>
      <c r="D715" s="26"/>
      <c r="E715" s="26"/>
      <c r="F715" s="25"/>
      <c r="G715" s="25"/>
      <c r="H715" s="25"/>
      <c r="I715" s="26"/>
      <c r="J715" s="26"/>
      <c r="K715" s="2"/>
      <c r="L715" s="2"/>
      <c r="M715" s="2"/>
      <c r="N715" s="2"/>
      <c r="O715" s="2"/>
      <c r="P715" s="2"/>
      <c r="Q715" s="2"/>
      <c r="R715" s="2"/>
      <c r="S715" s="2"/>
      <c r="T715" s="2"/>
      <c r="U715" s="2"/>
      <c r="V715" s="2"/>
      <c r="W715" s="2"/>
      <c r="X715" s="2"/>
      <c r="Y715" s="2"/>
    </row>
    <row r="716">
      <c r="A716" s="25"/>
      <c r="B716" s="25"/>
      <c r="C716" s="25"/>
      <c r="D716" s="26"/>
      <c r="E716" s="26"/>
      <c r="F716" s="25"/>
      <c r="G716" s="25"/>
      <c r="H716" s="25"/>
      <c r="I716" s="26"/>
      <c r="J716" s="26"/>
      <c r="K716" s="2"/>
      <c r="L716" s="2"/>
      <c r="M716" s="2"/>
      <c r="N716" s="2"/>
      <c r="O716" s="2"/>
      <c r="P716" s="2"/>
      <c r="Q716" s="2"/>
      <c r="R716" s="2"/>
      <c r="S716" s="2"/>
      <c r="T716" s="2"/>
      <c r="U716" s="2"/>
      <c r="V716" s="2"/>
      <c r="W716" s="2"/>
      <c r="X716" s="2"/>
      <c r="Y716" s="2"/>
    </row>
    <row r="717">
      <c r="A717" s="25"/>
      <c r="B717" s="25"/>
      <c r="C717" s="25"/>
      <c r="D717" s="26"/>
      <c r="E717" s="26"/>
      <c r="F717" s="25"/>
      <c r="G717" s="25"/>
      <c r="H717" s="25"/>
      <c r="I717" s="26"/>
      <c r="J717" s="26"/>
      <c r="K717" s="2"/>
      <c r="L717" s="2"/>
      <c r="M717" s="2"/>
      <c r="N717" s="2"/>
      <c r="O717" s="2"/>
      <c r="P717" s="2"/>
      <c r="Q717" s="2"/>
      <c r="R717" s="2"/>
      <c r="S717" s="2"/>
      <c r="T717" s="2"/>
      <c r="U717" s="2"/>
      <c r="V717" s="2"/>
      <c r="W717" s="2"/>
      <c r="X717" s="2"/>
      <c r="Y717" s="2"/>
    </row>
    <row r="718">
      <c r="A718" s="25"/>
      <c r="B718" s="25"/>
      <c r="C718" s="25"/>
      <c r="D718" s="26"/>
      <c r="E718" s="26"/>
      <c r="F718" s="25"/>
      <c r="G718" s="25"/>
      <c r="H718" s="25"/>
      <c r="I718" s="26"/>
      <c r="J718" s="26"/>
      <c r="K718" s="2"/>
      <c r="L718" s="2"/>
      <c r="M718" s="2"/>
      <c r="N718" s="2"/>
      <c r="O718" s="2"/>
      <c r="P718" s="2"/>
      <c r="Q718" s="2"/>
      <c r="R718" s="2"/>
      <c r="S718" s="2"/>
      <c r="T718" s="2"/>
      <c r="U718" s="2"/>
      <c r="V718" s="2"/>
      <c r="W718" s="2"/>
      <c r="X718" s="2"/>
      <c r="Y718" s="2"/>
    </row>
    <row r="719">
      <c r="A719" s="25"/>
      <c r="B719" s="25"/>
      <c r="C719" s="25"/>
      <c r="D719" s="26"/>
      <c r="E719" s="26"/>
      <c r="F719" s="25"/>
      <c r="G719" s="25"/>
      <c r="H719" s="25"/>
      <c r="I719" s="26"/>
      <c r="J719" s="26"/>
      <c r="K719" s="2"/>
      <c r="L719" s="2"/>
      <c r="M719" s="2"/>
      <c r="N719" s="2"/>
      <c r="O719" s="2"/>
      <c r="P719" s="2"/>
      <c r="Q719" s="2"/>
      <c r="R719" s="2"/>
      <c r="S719" s="2"/>
      <c r="T719" s="2"/>
      <c r="U719" s="2"/>
      <c r="V719" s="2"/>
      <c r="W719" s="2"/>
      <c r="X719" s="2"/>
      <c r="Y719" s="2"/>
    </row>
    <row r="720">
      <c r="A720" s="25"/>
      <c r="B720" s="25"/>
      <c r="C720" s="25"/>
      <c r="D720" s="26"/>
      <c r="E720" s="26"/>
      <c r="F720" s="25"/>
      <c r="G720" s="25"/>
      <c r="H720" s="25"/>
      <c r="I720" s="26"/>
      <c r="J720" s="26"/>
      <c r="K720" s="2"/>
      <c r="L720" s="2"/>
      <c r="M720" s="2"/>
      <c r="N720" s="2"/>
      <c r="O720" s="2"/>
      <c r="P720" s="2"/>
      <c r="Q720" s="2"/>
      <c r="R720" s="2"/>
      <c r="S720" s="2"/>
      <c r="T720" s="2"/>
      <c r="U720" s="2"/>
      <c r="V720" s="2"/>
      <c r="W720" s="2"/>
      <c r="X720" s="2"/>
      <c r="Y720" s="2"/>
    </row>
    <row r="721">
      <c r="A721" s="25"/>
      <c r="B721" s="25"/>
      <c r="C721" s="25"/>
      <c r="D721" s="26"/>
      <c r="E721" s="26"/>
      <c r="F721" s="25"/>
      <c r="G721" s="25"/>
      <c r="H721" s="25"/>
      <c r="I721" s="26"/>
      <c r="J721" s="26"/>
      <c r="K721" s="2"/>
      <c r="L721" s="2"/>
      <c r="M721" s="2"/>
      <c r="N721" s="2"/>
      <c r="O721" s="2"/>
      <c r="P721" s="2"/>
      <c r="Q721" s="2"/>
      <c r="R721" s="2"/>
      <c r="S721" s="2"/>
      <c r="T721" s="2"/>
      <c r="U721" s="2"/>
      <c r="V721" s="2"/>
      <c r="W721" s="2"/>
      <c r="X721" s="2"/>
      <c r="Y721" s="2"/>
    </row>
    <row r="722">
      <c r="A722" s="25"/>
      <c r="B722" s="25"/>
      <c r="C722" s="25"/>
      <c r="D722" s="26"/>
      <c r="E722" s="26"/>
      <c r="F722" s="25"/>
      <c r="G722" s="25"/>
      <c r="H722" s="25"/>
      <c r="I722" s="26"/>
      <c r="J722" s="26"/>
      <c r="K722" s="2"/>
      <c r="L722" s="2"/>
      <c r="M722" s="2"/>
      <c r="N722" s="2"/>
      <c r="O722" s="2"/>
      <c r="P722" s="2"/>
      <c r="Q722" s="2"/>
      <c r="R722" s="2"/>
      <c r="S722" s="2"/>
      <c r="T722" s="2"/>
      <c r="U722" s="2"/>
      <c r="V722" s="2"/>
      <c r="W722" s="2"/>
      <c r="X722" s="2"/>
      <c r="Y722" s="2"/>
    </row>
    <row r="723">
      <c r="A723" s="25"/>
      <c r="B723" s="25"/>
      <c r="C723" s="25"/>
      <c r="D723" s="26"/>
      <c r="E723" s="26"/>
      <c r="F723" s="25"/>
      <c r="G723" s="25"/>
      <c r="H723" s="25"/>
      <c r="I723" s="26"/>
      <c r="J723" s="26"/>
      <c r="K723" s="2"/>
      <c r="L723" s="2"/>
      <c r="M723" s="2"/>
      <c r="N723" s="2"/>
      <c r="O723" s="2"/>
      <c r="P723" s="2"/>
      <c r="Q723" s="2"/>
      <c r="R723" s="2"/>
      <c r="S723" s="2"/>
      <c r="T723" s="2"/>
      <c r="U723" s="2"/>
      <c r="V723" s="2"/>
      <c r="W723" s="2"/>
      <c r="X723" s="2"/>
      <c r="Y723" s="2"/>
    </row>
    <row r="724">
      <c r="A724" s="25"/>
      <c r="B724" s="25"/>
      <c r="C724" s="25"/>
      <c r="D724" s="26"/>
      <c r="E724" s="26"/>
      <c r="F724" s="25"/>
      <c r="G724" s="25"/>
      <c r="H724" s="25"/>
      <c r="I724" s="26"/>
      <c r="J724" s="26"/>
      <c r="K724" s="2"/>
      <c r="L724" s="2"/>
      <c r="M724" s="2"/>
      <c r="N724" s="2"/>
      <c r="O724" s="2"/>
      <c r="P724" s="2"/>
      <c r="Q724" s="2"/>
      <c r="R724" s="2"/>
      <c r="S724" s="2"/>
      <c r="T724" s="2"/>
      <c r="U724" s="2"/>
      <c r="V724" s="2"/>
      <c r="W724" s="2"/>
      <c r="X724" s="2"/>
      <c r="Y724" s="2"/>
    </row>
    <row r="725">
      <c r="A725" s="25"/>
      <c r="B725" s="25"/>
      <c r="C725" s="25"/>
      <c r="D725" s="26"/>
      <c r="E725" s="26"/>
      <c r="F725" s="25"/>
      <c r="G725" s="25"/>
      <c r="H725" s="25"/>
      <c r="I725" s="26"/>
      <c r="J725" s="26"/>
      <c r="K725" s="2"/>
      <c r="L725" s="2"/>
      <c r="M725" s="2"/>
      <c r="N725" s="2"/>
      <c r="O725" s="2"/>
      <c r="P725" s="2"/>
      <c r="Q725" s="2"/>
      <c r="R725" s="2"/>
      <c r="S725" s="2"/>
      <c r="T725" s="2"/>
      <c r="U725" s="2"/>
      <c r="V725" s="2"/>
      <c r="W725" s="2"/>
      <c r="X725" s="2"/>
      <c r="Y725" s="2"/>
    </row>
    <row r="726">
      <c r="A726" s="25"/>
      <c r="B726" s="25"/>
      <c r="C726" s="25"/>
      <c r="D726" s="26"/>
      <c r="E726" s="26"/>
      <c r="F726" s="25"/>
      <c r="G726" s="25"/>
      <c r="H726" s="25"/>
      <c r="I726" s="26"/>
      <c r="J726" s="26"/>
      <c r="K726" s="2"/>
      <c r="L726" s="2"/>
      <c r="M726" s="2"/>
      <c r="N726" s="2"/>
      <c r="O726" s="2"/>
      <c r="P726" s="2"/>
      <c r="Q726" s="2"/>
      <c r="R726" s="2"/>
      <c r="S726" s="2"/>
      <c r="T726" s="2"/>
      <c r="U726" s="2"/>
      <c r="V726" s="2"/>
      <c r="W726" s="2"/>
      <c r="X726" s="2"/>
      <c r="Y726" s="2"/>
    </row>
    <row r="727">
      <c r="A727" s="25"/>
      <c r="B727" s="25"/>
      <c r="C727" s="25"/>
      <c r="D727" s="26"/>
      <c r="E727" s="26"/>
      <c r="F727" s="25"/>
      <c r="G727" s="25"/>
      <c r="H727" s="25"/>
      <c r="I727" s="26"/>
      <c r="J727" s="26"/>
      <c r="K727" s="2"/>
      <c r="L727" s="2"/>
      <c r="M727" s="2"/>
      <c r="N727" s="2"/>
      <c r="O727" s="2"/>
      <c r="P727" s="2"/>
      <c r="Q727" s="2"/>
      <c r="R727" s="2"/>
      <c r="S727" s="2"/>
      <c r="T727" s="2"/>
      <c r="U727" s="2"/>
      <c r="V727" s="2"/>
      <c r="W727" s="2"/>
      <c r="X727" s="2"/>
      <c r="Y727" s="2"/>
    </row>
    <row r="728">
      <c r="A728" s="25"/>
      <c r="B728" s="25"/>
      <c r="C728" s="25"/>
      <c r="D728" s="26"/>
      <c r="E728" s="26"/>
      <c r="F728" s="25"/>
      <c r="G728" s="25"/>
      <c r="H728" s="25"/>
      <c r="I728" s="26"/>
      <c r="J728" s="26"/>
      <c r="K728" s="2"/>
      <c r="L728" s="2"/>
      <c r="M728" s="2"/>
      <c r="N728" s="2"/>
      <c r="O728" s="2"/>
      <c r="P728" s="2"/>
      <c r="Q728" s="2"/>
      <c r="R728" s="2"/>
      <c r="S728" s="2"/>
      <c r="T728" s="2"/>
      <c r="U728" s="2"/>
      <c r="V728" s="2"/>
      <c r="W728" s="2"/>
      <c r="X728" s="2"/>
      <c r="Y728" s="2"/>
    </row>
    <row r="729">
      <c r="A729" s="25"/>
      <c r="B729" s="25"/>
      <c r="C729" s="25"/>
      <c r="D729" s="26"/>
      <c r="E729" s="26"/>
      <c r="F729" s="25"/>
      <c r="G729" s="25"/>
      <c r="H729" s="25"/>
      <c r="I729" s="26"/>
      <c r="J729" s="26"/>
      <c r="K729" s="2"/>
      <c r="L729" s="2"/>
      <c r="M729" s="2"/>
      <c r="N729" s="2"/>
      <c r="O729" s="2"/>
      <c r="P729" s="2"/>
      <c r="Q729" s="2"/>
      <c r="R729" s="2"/>
      <c r="S729" s="2"/>
      <c r="T729" s="2"/>
      <c r="U729" s="2"/>
      <c r="V729" s="2"/>
      <c r="W729" s="2"/>
      <c r="X729" s="2"/>
      <c r="Y729" s="2"/>
    </row>
    <row r="730">
      <c r="A730" s="25"/>
      <c r="B730" s="25"/>
      <c r="C730" s="25"/>
      <c r="D730" s="26"/>
      <c r="E730" s="26"/>
      <c r="F730" s="25"/>
      <c r="G730" s="25"/>
      <c r="H730" s="25"/>
      <c r="I730" s="26"/>
      <c r="J730" s="26"/>
      <c r="K730" s="2"/>
      <c r="L730" s="2"/>
      <c r="M730" s="2"/>
      <c r="N730" s="2"/>
      <c r="O730" s="2"/>
      <c r="P730" s="2"/>
      <c r="Q730" s="2"/>
      <c r="R730" s="2"/>
      <c r="S730" s="2"/>
      <c r="T730" s="2"/>
      <c r="U730" s="2"/>
      <c r="V730" s="2"/>
      <c r="W730" s="2"/>
      <c r="X730" s="2"/>
      <c r="Y730" s="2"/>
    </row>
    <row r="731">
      <c r="A731" s="25"/>
      <c r="B731" s="25"/>
      <c r="C731" s="25"/>
      <c r="D731" s="26"/>
      <c r="E731" s="26"/>
      <c r="F731" s="25"/>
      <c r="G731" s="25"/>
      <c r="H731" s="25"/>
      <c r="I731" s="26"/>
      <c r="J731" s="26"/>
      <c r="K731" s="2"/>
      <c r="L731" s="2"/>
      <c r="M731" s="2"/>
      <c r="N731" s="2"/>
      <c r="O731" s="2"/>
      <c r="P731" s="2"/>
      <c r="Q731" s="2"/>
      <c r="R731" s="2"/>
      <c r="S731" s="2"/>
      <c r="T731" s="2"/>
      <c r="U731" s="2"/>
      <c r="V731" s="2"/>
      <c r="W731" s="2"/>
      <c r="X731" s="2"/>
      <c r="Y731" s="2"/>
    </row>
    <row r="732">
      <c r="A732" s="25"/>
      <c r="B732" s="25"/>
      <c r="C732" s="25"/>
      <c r="D732" s="26"/>
      <c r="E732" s="26"/>
      <c r="F732" s="25"/>
      <c r="G732" s="25"/>
      <c r="H732" s="25"/>
      <c r="I732" s="26"/>
      <c r="J732" s="26"/>
      <c r="K732" s="2"/>
      <c r="L732" s="2"/>
      <c r="M732" s="2"/>
      <c r="N732" s="2"/>
      <c r="O732" s="2"/>
      <c r="P732" s="2"/>
      <c r="Q732" s="2"/>
      <c r="R732" s="2"/>
      <c r="S732" s="2"/>
      <c r="T732" s="2"/>
      <c r="U732" s="2"/>
      <c r="V732" s="2"/>
      <c r="W732" s="2"/>
      <c r="X732" s="2"/>
      <c r="Y732" s="2"/>
    </row>
    <row r="733">
      <c r="A733" s="25"/>
      <c r="B733" s="25"/>
      <c r="C733" s="25"/>
      <c r="D733" s="26"/>
      <c r="E733" s="26"/>
      <c r="F733" s="25"/>
      <c r="G733" s="25"/>
      <c r="H733" s="25"/>
      <c r="I733" s="26"/>
      <c r="J733" s="26"/>
      <c r="K733" s="2"/>
      <c r="L733" s="2"/>
      <c r="M733" s="2"/>
      <c r="N733" s="2"/>
      <c r="O733" s="2"/>
      <c r="P733" s="2"/>
      <c r="Q733" s="2"/>
      <c r="R733" s="2"/>
      <c r="S733" s="2"/>
      <c r="T733" s="2"/>
      <c r="U733" s="2"/>
      <c r="V733" s="2"/>
      <c r="W733" s="2"/>
      <c r="X733" s="2"/>
      <c r="Y733" s="2"/>
    </row>
    <row r="734">
      <c r="A734" s="25"/>
      <c r="B734" s="25"/>
      <c r="C734" s="25"/>
      <c r="D734" s="26"/>
      <c r="E734" s="26"/>
      <c r="F734" s="25"/>
      <c r="G734" s="25"/>
      <c r="H734" s="25"/>
      <c r="I734" s="26"/>
      <c r="J734" s="26"/>
      <c r="K734" s="2"/>
      <c r="L734" s="2"/>
      <c r="M734" s="2"/>
      <c r="N734" s="2"/>
      <c r="O734" s="2"/>
      <c r="P734" s="2"/>
      <c r="Q734" s="2"/>
      <c r="R734" s="2"/>
      <c r="S734" s="2"/>
      <c r="T734" s="2"/>
      <c r="U734" s="2"/>
      <c r="V734" s="2"/>
      <c r="W734" s="2"/>
      <c r="X734" s="2"/>
      <c r="Y734" s="2"/>
    </row>
    <row r="735">
      <c r="A735" s="25"/>
      <c r="B735" s="25"/>
      <c r="C735" s="25"/>
      <c r="D735" s="26"/>
      <c r="E735" s="26"/>
      <c r="F735" s="25"/>
      <c r="G735" s="25"/>
      <c r="H735" s="25"/>
      <c r="I735" s="26"/>
      <c r="J735" s="26"/>
      <c r="K735" s="2"/>
      <c r="L735" s="2"/>
      <c r="M735" s="2"/>
      <c r="N735" s="2"/>
      <c r="O735" s="2"/>
      <c r="P735" s="2"/>
      <c r="Q735" s="2"/>
      <c r="R735" s="2"/>
      <c r="S735" s="2"/>
      <c r="T735" s="2"/>
      <c r="U735" s="2"/>
      <c r="V735" s="2"/>
      <c r="W735" s="2"/>
      <c r="X735" s="2"/>
      <c r="Y735" s="2"/>
    </row>
    <row r="736">
      <c r="A736" s="25"/>
      <c r="B736" s="25"/>
      <c r="C736" s="25"/>
      <c r="D736" s="26"/>
      <c r="E736" s="26"/>
      <c r="F736" s="25"/>
      <c r="G736" s="25"/>
      <c r="H736" s="25"/>
      <c r="I736" s="26"/>
      <c r="J736" s="26"/>
      <c r="K736" s="2"/>
      <c r="L736" s="2"/>
      <c r="M736" s="2"/>
      <c r="N736" s="2"/>
      <c r="O736" s="2"/>
      <c r="P736" s="2"/>
      <c r="Q736" s="2"/>
      <c r="R736" s="2"/>
      <c r="S736" s="2"/>
      <c r="T736" s="2"/>
      <c r="U736" s="2"/>
      <c r="V736" s="2"/>
      <c r="W736" s="2"/>
      <c r="X736" s="2"/>
      <c r="Y736" s="2"/>
    </row>
    <row r="737">
      <c r="A737" s="25"/>
      <c r="B737" s="25"/>
      <c r="C737" s="25"/>
      <c r="D737" s="26"/>
      <c r="E737" s="26"/>
      <c r="F737" s="25"/>
      <c r="G737" s="25"/>
      <c r="H737" s="25"/>
      <c r="I737" s="26"/>
      <c r="J737" s="26"/>
      <c r="K737" s="2"/>
      <c r="L737" s="2"/>
      <c r="M737" s="2"/>
      <c r="N737" s="2"/>
      <c r="O737" s="2"/>
      <c r="P737" s="2"/>
      <c r="Q737" s="2"/>
      <c r="R737" s="2"/>
      <c r="S737" s="2"/>
      <c r="T737" s="2"/>
      <c r="U737" s="2"/>
      <c r="V737" s="2"/>
      <c r="W737" s="2"/>
      <c r="X737" s="2"/>
      <c r="Y737" s="2"/>
    </row>
    <row r="738">
      <c r="A738" s="25"/>
      <c r="B738" s="25"/>
      <c r="C738" s="25"/>
      <c r="D738" s="26"/>
      <c r="E738" s="26"/>
      <c r="F738" s="25"/>
      <c r="G738" s="25"/>
      <c r="H738" s="25"/>
      <c r="I738" s="26"/>
      <c r="J738" s="26"/>
      <c r="K738" s="2"/>
      <c r="L738" s="2"/>
      <c r="M738" s="2"/>
      <c r="N738" s="2"/>
      <c r="O738" s="2"/>
      <c r="P738" s="2"/>
      <c r="Q738" s="2"/>
      <c r="R738" s="2"/>
      <c r="S738" s="2"/>
      <c r="T738" s="2"/>
      <c r="U738" s="2"/>
      <c r="V738" s="2"/>
      <c r="W738" s="2"/>
      <c r="X738" s="2"/>
      <c r="Y738" s="2"/>
    </row>
    <row r="739">
      <c r="A739" s="25"/>
      <c r="B739" s="25"/>
      <c r="C739" s="25"/>
      <c r="D739" s="26"/>
      <c r="E739" s="26"/>
      <c r="F739" s="25"/>
      <c r="G739" s="25"/>
      <c r="H739" s="25"/>
      <c r="I739" s="26"/>
      <c r="J739" s="26"/>
      <c r="K739" s="2"/>
      <c r="L739" s="2"/>
      <c r="M739" s="2"/>
      <c r="N739" s="2"/>
      <c r="O739" s="2"/>
      <c r="P739" s="2"/>
      <c r="Q739" s="2"/>
      <c r="R739" s="2"/>
      <c r="S739" s="2"/>
      <c r="T739" s="2"/>
      <c r="U739" s="2"/>
      <c r="V739" s="2"/>
      <c r="W739" s="2"/>
      <c r="X739" s="2"/>
      <c r="Y739" s="2"/>
    </row>
    <row r="740">
      <c r="A740" s="25"/>
      <c r="B740" s="25"/>
      <c r="C740" s="25"/>
      <c r="D740" s="26"/>
      <c r="E740" s="26"/>
      <c r="F740" s="25"/>
      <c r="G740" s="25"/>
      <c r="H740" s="25"/>
      <c r="I740" s="26"/>
      <c r="J740" s="26"/>
      <c r="K740" s="2"/>
      <c r="L740" s="2"/>
      <c r="M740" s="2"/>
      <c r="N740" s="2"/>
      <c r="O740" s="2"/>
      <c r="P740" s="2"/>
      <c r="Q740" s="2"/>
      <c r="R740" s="2"/>
      <c r="S740" s="2"/>
      <c r="T740" s="2"/>
      <c r="U740" s="2"/>
      <c r="V740" s="2"/>
      <c r="W740" s="2"/>
      <c r="X740" s="2"/>
      <c r="Y740" s="2"/>
    </row>
    <row r="741">
      <c r="A741" s="25"/>
      <c r="B741" s="25"/>
      <c r="C741" s="25"/>
      <c r="D741" s="26"/>
      <c r="E741" s="26"/>
      <c r="F741" s="25"/>
      <c r="G741" s="25"/>
      <c r="H741" s="25"/>
      <c r="I741" s="26"/>
      <c r="J741" s="26"/>
      <c r="K741" s="2"/>
      <c r="L741" s="2"/>
      <c r="M741" s="2"/>
      <c r="N741" s="2"/>
      <c r="O741" s="2"/>
      <c r="P741" s="2"/>
      <c r="Q741" s="2"/>
      <c r="R741" s="2"/>
      <c r="S741" s="2"/>
      <c r="T741" s="2"/>
      <c r="U741" s="2"/>
      <c r="V741" s="2"/>
      <c r="W741" s="2"/>
      <c r="X741" s="2"/>
      <c r="Y741" s="2"/>
    </row>
    <row r="742">
      <c r="A742" s="25"/>
      <c r="B742" s="25"/>
      <c r="C742" s="25"/>
      <c r="D742" s="26"/>
      <c r="E742" s="26"/>
      <c r="F742" s="25"/>
      <c r="G742" s="25"/>
      <c r="H742" s="25"/>
      <c r="I742" s="26"/>
      <c r="J742" s="26"/>
      <c r="K742" s="2"/>
      <c r="L742" s="2"/>
      <c r="M742" s="2"/>
      <c r="N742" s="2"/>
      <c r="O742" s="2"/>
      <c r="P742" s="2"/>
      <c r="Q742" s="2"/>
      <c r="R742" s="2"/>
      <c r="S742" s="2"/>
      <c r="T742" s="2"/>
      <c r="U742" s="2"/>
      <c r="V742" s="2"/>
      <c r="W742" s="2"/>
      <c r="X742" s="2"/>
      <c r="Y742" s="2"/>
    </row>
    <row r="743">
      <c r="A743" s="25"/>
      <c r="B743" s="25"/>
      <c r="C743" s="25"/>
      <c r="D743" s="26"/>
      <c r="E743" s="26"/>
      <c r="F743" s="25"/>
      <c r="G743" s="25"/>
      <c r="H743" s="25"/>
      <c r="I743" s="26"/>
      <c r="J743" s="26"/>
      <c r="K743" s="2"/>
      <c r="L743" s="2"/>
      <c r="M743" s="2"/>
      <c r="N743" s="2"/>
      <c r="O743" s="2"/>
      <c r="P743" s="2"/>
      <c r="Q743" s="2"/>
      <c r="R743" s="2"/>
      <c r="S743" s="2"/>
      <c r="T743" s="2"/>
      <c r="U743" s="2"/>
      <c r="V743" s="2"/>
      <c r="W743" s="2"/>
      <c r="X743" s="2"/>
      <c r="Y743" s="2"/>
    </row>
    <row r="744">
      <c r="A744" s="25"/>
      <c r="B744" s="25"/>
      <c r="C744" s="25"/>
      <c r="D744" s="26"/>
      <c r="E744" s="26"/>
      <c r="F744" s="25"/>
      <c r="G744" s="25"/>
      <c r="H744" s="25"/>
      <c r="I744" s="26"/>
      <c r="J744" s="26"/>
      <c r="K744" s="2"/>
      <c r="L744" s="2"/>
      <c r="M744" s="2"/>
      <c r="N744" s="2"/>
      <c r="O744" s="2"/>
      <c r="P744" s="2"/>
      <c r="Q744" s="2"/>
      <c r="R744" s="2"/>
      <c r="S744" s="2"/>
      <c r="T744" s="2"/>
      <c r="U744" s="2"/>
      <c r="V744" s="2"/>
      <c r="W744" s="2"/>
      <c r="X744" s="2"/>
      <c r="Y744" s="2"/>
    </row>
    <row r="745">
      <c r="A745" s="25"/>
      <c r="B745" s="25"/>
      <c r="C745" s="25"/>
      <c r="D745" s="26"/>
      <c r="E745" s="26"/>
      <c r="F745" s="25"/>
      <c r="G745" s="25"/>
      <c r="H745" s="25"/>
      <c r="I745" s="26"/>
      <c r="J745" s="26"/>
      <c r="K745" s="2"/>
      <c r="L745" s="2"/>
      <c r="M745" s="2"/>
      <c r="N745" s="2"/>
      <c r="O745" s="2"/>
      <c r="P745" s="2"/>
      <c r="Q745" s="2"/>
      <c r="R745" s="2"/>
      <c r="S745" s="2"/>
      <c r="T745" s="2"/>
      <c r="U745" s="2"/>
      <c r="V745" s="2"/>
      <c r="W745" s="2"/>
      <c r="X745" s="2"/>
      <c r="Y745" s="2"/>
    </row>
    <row r="746">
      <c r="A746" s="25"/>
      <c r="B746" s="25"/>
      <c r="C746" s="25"/>
      <c r="D746" s="26"/>
      <c r="E746" s="26"/>
      <c r="F746" s="25"/>
      <c r="G746" s="25"/>
      <c r="H746" s="25"/>
      <c r="I746" s="26"/>
      <c r="J746" s="26"/>
      <c r="K746" s="2"/>
      <c r="L746" s="2"/>
      <c r="M746" s="2"/>
      <c r="N746" s="2"/>
      <c r="O746" s="2"/>
      <c r="P746" s="2"/>
      <c r="Q746" s="2"/>
      <c r="R746" s="2"/>
      <c r="S746" s="2"/>
      <c r="T746" s="2"/>
      <c r="U746" s="2"/>
      <c r="V746" s="2"/>
      <c r="W746" s="2"/>
      <c r="X746" s="2"/>
      <c r="Y746" s="2"/>
    </row>
    <row r="747">
      <c r="A747" s="25"/>
      <c r="B747" s="25"/>
      <c r="C747" s="25"/>
      <c r="D747" s="26"/>
      <c r="E747" s="26"/>
      <c r="F747" s="25"/>
      <c r="G747" s="25"/>
      <c r="H747" s="25"/>
      <c r="I747" s="26"/>
      <c r="J747" s="26"/>
      <c r="K747" s="2"/>
      <c r="L747" s="2"/>
      <c r="M747" s="2"/>
      <c r="N747" s="2"/>
      <c r="O747" s="2"/>
      <c r="P747" s="2"/>
      <c r="Q747" s="2"/>
      <c r="R747" s="2"/>
      <c r="S747" s="2"/>
      <c r="T747" s="2"/>
      <c r="U747" s="2"/>
      <c r="V747" s="2"/>
      <c r="W747" s="2"/>
      <c r="X747" s="2"/>
      <c r="Y747" s="2"/>
    </row>
    <row r="748">
      <c r="A748" s="25"/>
      <c r="B748" s="25"/>
      <c r="C748" s="25"/>
      <c r="D748" s="26"/>
      <c r="E748" s="26"/>
      <c r="F748" s="25"/>
      <c r="G748" s="25"/>
      <c r="H748" s="25"/>
      <c r="I748" s="26"/>
      <c r="J748" s="26"/>
      <c r="K748" s="2"/>
      <c r="L748" s="2"/>
      <c r="M748" s="2"/>
      <c r="N748" s="2"/>
      <c r="O748" s="2"/>
      <c r="P748" s="2"/>
      <c r="Q748" s="2"/>
      <c r="R748" s="2"/>
      <c r="S748" s="2"/>
      <c r="T748" s="2"/>
      <c r="U748" s="2"/>
      <c r="V748" s="2"/>
      <c r="W748" s="2"/>
      <c r="X748" s="2"/>
      <c r="Y748" s="2"/>
    </row>
    <row r="749">
      <c r="A749" s="25"/>
      <c r="B749" s="25"/>
      <c r="C749" s="25"/>
      <c r="D749" s="26"/>
      <c r="E749" s="26"/>
      <c r="F749" s="25"/>
      <c r="G749" s="25"/>
      <c r="H749" s="25"/>
      <c r="I749" s="26"/>
      <c r="J749" s="26"/>
      <c r="K749" s="2"/>
      <c r="L749" s="2"/>
      <c r="M749" s="2"/>
      <c r="N749" s="2"/>
      <c r="O749" s="2"/>
      <c r="P749" s="2"/>
      <c r="Q749" s="2"/>
      <c r="R749" s="2"/>
      <c r="S749" s="2"/>
      <c r="T749" s="2"/>
      <c r="U749" s="2"/>
      <c r="V749" s="2"/>
      <c r="W749" s="2"/>
      <c r="X749" s="2"/>
      <c r="Y749" s="2"/>
    </row>
    <row r="750">
      <c r="A750" s="25"/>
      <c r="B750" s="25"/>
      <c r="C750" s="25"/>
      <c r="D750" s="26"/>
      <c r="E750" s="26"/>
      <c r="F750" s="25"/>
      <c r="G750" s="25"/>
      <c r="H750" s="25"/>
      <c r="I750" s="26"/>
      <c r="J750" s="26"/>
      <c r="K750" s="2"/>
      <c r="L750" s="2"/>
      <c r="M750" s="2"/>
      <c r="N750" s="2"/>
      <c r="O750" s="2"/>
      <c r="P750" s="2"/>
      <c r="Q750" s="2"/>
      <c r="R750" s="2"/>
      <c r="S750" s="2"/>
      <c r="T750" s="2"/>
      <c r="U750" s="2"/>
      <c r="V750" s="2"/>
      <c r="W750" s="2"/>
      <c r="X750" s="2"/>
      <c r="Y750" s="2"/>
    </row>
    <row r="751">
      <c r="A751" s="25"/>
      <c r="B751" s="25"/>
      <c r="C751" s="25"/>
      <c r="D751" s="26"/>
      <c r="E751" s="26"/>
      <c r="F751" s="25"/>
      <c r="G751" s="25"/>
      <c r="H751" s="25"/>
      <c r="I751" s="26"/>
      <c r="J751" s="26"/>
      <c r="K751" s="2"/>
      <c r="L751" s="2"/>
      <c r="M751" s="2"/>
      <c r="N751" s="2"/>
      <c r="O751" s="2"/>
      <c r="P751" s="2"/>
      <c r="Q751" s="2"/>
      <c r="R751" s="2"/>
      <c r="S751" s="2"/>
      <c r="T751" s="2"/>
      <c r="U751" s="2"/>
      <c r="V751" s="2"/>
      <c r="W751" s="2"/>
      <c r="X751" s="2"/>
      <c r="Y751" s="2"/>
    </row>
    <row r="752">
      <c r="A752" s="25"/>
      <c r="B752" s="25"/>
      <c r="C752" s="25"/>
      <c r="D752" s="26"/>
      <c r="E752" s="26"/>
      <c r="F752" s="25"/>
      <c r="G752" s="25"/>
      <c r="H752" s="25"/>
      <c r="I752" s="26"/>
      <c r="J752" s="26"/>
      <c r="K752" s="2"/>
      <c r="L752" s="2"/>
      <c r="M752" s="2"/>
      <c r="N752" s="2"/>
      <c r="O752" s="2"/>
      <c r="P752" s="2"/>
      <c r="Q752" s="2"/>
      <c r="R752" s="2"/>
      <c r="S752" s="2"/>
      <c r="T752" s="2"/>
      <c r="U752" s="2"/>
      <c r="V752" s="2"/>
      <c r="W752" s="2"/>
      <c r="X752" s="2"/>
      <c r="Y752" s="2"/>
    </row>
    <row r="753">
      <c r="A753" s="25"/>
      <c r="B753" s="25"/>
      <c r="C753" s="25"/>
      <c r="D753" s="26"/>
      <c r="E753" s="26"/>
      <c r="F753" s="25"/>
      <c r="G753" s="25"/>
      <c r="H753" s="25"/>
      <c r="I753" s="26"/>
      <c r="J753" s="26"/>
      <c r="K753" s="2"/>
      <c r="L753" s="2"/>
      <c r="M753" s="2"/>
      <c r="N753" s="2"/>
      <c r="O753" s="2"/>
      <c r="P753" s="2"/>
      <c r="Q753" s="2"/>
      <c r="R753" s="2"/>
      <c r="S753" s="2"/>
      <c r="T753" s="2"/>
      <c r="U753" s="2"/>
      <c r="V753" s="2"/>
      <c r="W753" s="2"/>
      <c r="X753" s="2"/>
      <c r="Y753" s="2"/>
    </row>
    <row r="754">
      <c r="A754" s="25"/>
      <c r="B754" s="25"/>
      <c r="C754" s="25"/>
      <c r="D754" s="26"/>
      <c r="E754" s="26"/>
      <c r="F754" s="25"/>
      <c r="G754" s="25"/>
      <c r="H754" s="25"/>
      <c r="I754" s="26"/>
      <c r="J754" s="26"/>
      <c r="K754" s="2"/>
      <c r="L754" s="2"/>
      <c r="M754" s="2"/>
      <c r="N754" s="2"/>
      <c r="O754" s="2"/>
      <c r="P754" s="2"/>
      <c r="Q754" s="2"/>
      <c r="R754" s="2"/>
      <c r="S754" s="2"/>
      <c r="T754" s="2"/>
      <c r="U754" s="2"/>
      <c r="V754" s="2"/>
      <c r="W754" s="2"/>
      <c r="X754" s="2"/>
      <c r="Y754" s="2"/>
    </row>
    <row r="755">
      <c r="A755" s="25"/>
      <c r="B755" s="25"/>
      <c r="C755" s="25"/>
      <c r="D755" s="26"/>
      <c r="E755" s="26"/>
      <c r="F755" s="25"/>
      <c r="G755" s="25"/>
      <c r="H755" s="25"/>
      <c r="I755" s="26"/>
      <c r="J755" s="26"/>
      <c r="K755" s="2"/>
      <c r="L755" s="2"/>
      <c r="M755" s="2"/>
      <c r="N755" s="2"/>
      <c r="O755" s="2"/>
      <c r="P755" s="2"/>
      <c r="Q755" s="2"/>
      <c r="R755" s="2"/>
      <c r="S755" s="2"/>
      <c r="T755" s="2"/>
      <c r="U755" s="2"/>
      <c r="V755" s="2"/>
      <c r="W755" s="2"/>
      <c r="X755" s="2"/>
      <c r="Y755" s="2"/>
    </row>
    <row r="756">
      <c r="A756" s="25"/>
      <c r="B756" s="25"/>
      <c r="C756" s="25"/>
      <c r="D756" s="26"/>
      <c r="E756" s="26"/>
      <c r="F756" s="25"/>
      <c r="G756" s="25"/>
      <c r="H756" s="25"/>
      <c r="I756" s="26"/>
      <c r="J756" s="26"/>
      <c r="K756" s="2"/>
      <c r="L756" s="2"/>
      <c r="M756" s="2"/>
      <c r="N756" s="2"/>
      <c r="O756" s="2"/>
      <c r="P756" s="2"/>
      <c r="Q756" s="2"/>
      <c r="R756" s="2"/>
      <c r="S756" s="2"/>
      <c r="T756" s="2"/>
      <c r="U756" s="2"/>
      <c r="V756" s="2"/>
      <c r="W756" s="2"/>
      <c r="X756" s="2"/>
      <c r="Y756" s="2"/>
    </row>
    <row r="757">
      <c r="A757" s="25"/>
      <c r="B757" s="25"/>
      <c r="C757" s="25"/>
      <c r="D757" s="26"/>
      <c r="E757" s="26"/>
      <c r="F757" s="25"/>
      <c r="G757" s="25"/>
      <c r="H757" s="25"/>
      <c r="I757" s="26"/>
      <c r="J757" s="26"/>
      <c r="K757" s="2"/>
      <c r="L757" s="2"/>
      <c r="M757" s="2"/>
      <c r="N757" s="2"/>
      <c r="O757" s="2"/>
      <c r="P757" s="2"/>
      <c r="Q757" s="2"/>
      <c r="R757" s="2"/>
      <c r="S757" s="2"/>
      <c r="T757" s="2"/>
      <c r="U757" s="2"/>
      <c r="V757" s="2"/>
      <c r="W757" s="2"/>
      <c r="X757" s="2"/>
      <c r="Y757" s="2"/>
    </row>
    <row r="758">
      <c r="A758" s="25"/>
      <c r="B758" s="25"/>
      <c r="C758" s="25"/>
      <c r="D758" s="26"/>
      <c r="E758" s="26"/>
      <c r="F758" s="25"/>
      <c r="G758" s="25"/>
      <c r="H758" s="25"/>
      <c r="I758" s="26"/>
      <c r="J758" s="26"/>
      <c r="K758" s="2"/>
      <c r="L758" s="2"/>
      <c r="M758" s="2"/>
      <c r="N758" s="2"/>
      <c r="O758" s="2"/>
      <c r="P758" s="2"/>
      <c r="Q758" s="2"/>
      <c r="R758" s="2"/>
      <c r="S758" s="2"/>
      <c r="T758" s="2"/>
      <c r="U758" s="2"/>
      <c r="V758" s="2"/>
      <c r="W758" s="2"/>
      <c r="X758" s="2"/>
      <c r="Y758" s="2"/>
    </row>
    <row r="759">
      <c r="A759" s="25"/>
      <c r="B759" s="25"/>
      <c r="C759" s="25"/>
      <c r="D759" s="26"/>
      <c r="E759" s="26"/>
      <c r="F759" s="25"/>
      <c r="G759" s="25"/>
      <c r="H759" s="25"/>
      <c r="I759" s="26"/>
      <c r="J759" s="26"/>
      <c r="K759" s="2"/>
      <c r="L759" s="2"/>
      <c r="M759" s="2"/>
      <c r="N759" s="2"/>
      <c r="O759" s="2"/>
      <c r="P759" s="2"/>
      <c r="Q759" s="2"/>
      <c r="R759" s="2"/>
      <c r="S759" s="2"/>
      <c r="T759" s="2"/>
      <c r="U759" s="2"/>
      <c r="V759" s="2"/>
      <c r="W759" s="2"/>
      <c r="X759" s="2"/>
      <c r="Y759" s="2"/>
    </row>
    <row r="760">
      <c r="A760" s="25"/>
      <c r="B760" s="25"/>
      <c r="C760" s="25"/>
      <c r="D760" s="26"/>
      <c r="E760" s="26"/>
      <c r="F760" s="25"/>
      <c r="G760" s="25"/>
      <c r="H760" s="25"/>
      <c r="I760" s="26"/>
      <c r="J760" s="26"/>
      <c r="K760" s="2"/>
      <c r="L760" s="2"/>
      <c r="M760" s="2"/>
      <c r="N760" s="2"/>
      <c r="O760" s="2"/>
      <c r="P760" s="2"/>
      <c r="Q760" s="2"/>
      <c r="R760" s="2"/>
      <c r="S760" s="2"/>
      <c r="T760" s="2"/>
      <c r="U760" s="2"/>
      <c r="V760" s="2"/>
      <c r="W760" s="2"/>
      <c r="X760" s="2"/>
      <c r="Y760" s="2"/>
    </row>
    <row r="761">
      <c r="A761" s="25"/>
      <c r="B761" s="25"/>
      <c r="C761" s="25"/>
      <c r="D761" s="26"/>
      <c r="E761" s="26"/>
      <c r="F761" s="25"/>
      <c r="G761" s="25"/>
      <c r="H761" s="25"/>
      <c r="I761" s="26"/>
      <c r="J761" s="26"/>
      <c r="K761" s="2"/>
      <c r="L761" s="2"/>
      <c r="M761" s="2"/>
      <c r="N761" s="2"/>
      <c r="O761" s="2"/>
      <c r="P761" s="2"/>
      <c r="Q761" s="2"/>
      <c r="R761" s="2"/>
      <c r="S761" s="2"/>
      <c r="T761" s="2"/>
      <c r="U761" s="2"/>
      <c r="V761" s="2"/>
      <c r="W761" s="2"/>
      <c r="X761" s="2"/>
      <c r="Y761" s="2"/>
    </row>
    <row r="762">
      <c r="A762" s="25"/>
      <c r="B762" s="25"/>
      <c r="C762" s="25"/>
      <c r="D762" s="26"/>
      <c r="E762" s="26"/>
      <c r="F762" s="25"/>
      <c r="G762" s="25"/>
      <c r="H762" s="25"/>
      <c r="I762" s="26"/>
      <c r="J762" s="26"/>
      <c r="K762" s="2"/>
      <c r="L762" s="2"/>
      <c r="M762" s="2"/>
      <c r="N762" s="2"/>
      <c r="O762" s="2"/>
      <c r="P762" s="2"/>
      <c r="Q762" s="2"/>
      <c r="R762" s="2"/>
      <c r="S762" s="2"/>
      <c r="T762" s="2"/>
      <c r="U762" s="2"/>
      <c r="V762" s="2"/>
      <c r="W762" s="2"/>
      <c r="X762" s="2"/>
      <c r="Y762" s="2"/>
    </row>
    <row r="763">
      <c r="A763" s="25"/>
      <c r="B763" s="25"/>
      <c r="C763" s="25"/>
      <c r="D763" s="26"/>
      <c r="E763" s="26"/>
      <c r="F763" s="25"/>
      <c r="G763" s="25"/>
      <c r="H763" s="25"/>
      <c r="I763" s="26"/>
      <c r="J763" s="26"/>
      <c r="K763" s="2"/>
      <c r="L763" s="2"/>
      <c r="M763" s="2"/>
      <c r="N763" s="2"/>
      <c r="O763" s="2"/>
      <c r="P763" s="2"/>
      <c r="Q763" s="2"/>
      <c r="R763" s="2"/>
      <c r="S763" s="2"/>
      <c r="T763" s="2"/>
      <c r="U763" s="2"/>
      <c r="V763" s="2"/>
      <c r="W763" s="2"/>
      <c r="X763" s="2"/>
      <c r="Y763" s="2"/>
    </row>
    <row r="764">
      <c r="A764" s="25"/>
      <c r="B764" s="25"/>
      <c r="C764" s="25"/>
      <c r="D764" s="26"/>
      <c r="E764" s="26"/>
      <c r="F764" s="25"/>
      <c r="G764" s="25"/>
      <c r="H764" s="25"/>
      <c r="I764" s="26"/>
      <c r="J764" s="26"/>
      <c r="K764" s="2"/>
      <c r="L764" s="2"/>
      <c r="M764" s="2"/>
      <c r="N764" s="2"/>
      <c r="O764" s="2"/>
      <c r="P764" s="2"/>
      <c r="Q764" s="2"/>
      <c r="R764" s="2"/>
      <c r="S764" s="2"/>
      <c r="T764" s="2"/>
      <c r="U764" s="2"/>
      <c r="V764" s="2"/>
      <c r="W764" s="2"/>
      <c r="X764" s="2"/>
      <c r="Y764" s="2"/>
    </row>
    <row r="765">
      <c r="A765" s="25"/>
      <c r="B765" s="25"/>
      <c r="C765" s="25"/>
      <c r="D765" s="26"/>
      <c r="E765" s="26"/>
      <c r="F765" s="25"/>
      <c r="G765" s="25"/>
      <c r="H765" s="25"/>
      <c r="I765" s="26"/>
      <c r="J765" s="26"/>
      <c r="K765" s="2"/>
      <c r="L765" s="2"/>
      <c r="M765" s="2"/>
      <c r="N765" s="2"/>
      <c r="O765" s="2"/>
      <c r="P765" s="2"/>
      <c r="Q765" s="2"/>
      <c r="R765" s="2"/>
      <c r="S765" s="2"/>
      <c r="T765" s="2"/>
      <c r="U765" s="2"/>
      <c r="V765" s="2"/>
      <c r="W765" s="2"/>
      <c r="X765" s="2"/>
      <c r="Y765" s="2"/>
    </row>
    <row r="766">
      <c r="A766" s="25"/>
      <c r="B766" s="25"/>
      <c r="C766" s="25"/>
      <c r="D766" s="26"/>
      <c r="E766" s="26"/>
      <c r="F766" s="25"/>
      <c r="G766" s="25"/>
      <c r="H766" s="25"/>
      <c r="I766" s="26"/>
      <c r="J766" s="26"/>
      <c r="K766" s="2"/>
      <c r="L766" s="2"/>
      <c r="M766" s="2"/>
      <c r="N766" s="2"/>
      <c r="O766" s="2"/>
      <c r="P766" s="2"/>
      <c r="Q766" s="2"/>
      <c r="R766" s="2"/>
      <c r="S766" s="2"/>
      <c r="T766" s="2"/>
      <c r="U766" s="2"/>
      <c r="V766" s="2"/>
      <c r="W766" s="2"/>
      <c r="X766" s="2"/>
      <c r="Y766" s="2"/>
    </row>
    <row r="767">
      <c r="A767" s="25"/>
      <c r="B767" s="25"/>
      <c r="C767" s="25"/>
      <c r="D767" s="26"/>
      <c r="E767" s="26"/>
      <c r="F767" s="25"/>
      <c r="G767" s="25"/>
      <c r="H767" s="25"/>
      <c r="I767" s="26"/>
      <c r="J767" s="26"/>
      <c r="K767" s="2"/>
      <c r="L767" s="2"/>
      <c r="M767" s="2"/>
      <c r="N767" s="2"/>
      <c r="O767" s="2"/>
      <c r="P767" s="2"/>
      <c r="Q767" s="2"/>
      <c r="R767" s="2"/>
      <c r="S767" s="2"/>
      <c r="T767" s="2"/>
      <c r="U767" s="2"/>
      <c r="V767" s="2"/>
      <c r="W767" s="2"/>
      <c r="X767" s="2"/>
      <c r="Y767" s="2"/>
    </row>
    <row r="768">
      <c r="A768" s="25"/>
      <c r="B768" s="25"/>
      <c r="C768" s="25"/>
      <c r="D768" s="26"/>
      <c r="E768" s="26"/>
      <c r="F768" s="25"/>
      <c r="G768" s="25"/>
      <c r="H768" s="25"/>
      <c r="I768" s="26"/>
      <c r="J768" s="26"/>
      <c r="K768" s="2"/>
      <c r="L768" s="2"/>
      <c r="M768" s="2"/>
      <c r="N768" s="2"/>
      <c r="O768" s="2"/>
      <c r="P768" s="2"/>
      <c r="Q768" s="2"/>
      <c r="R768" s="2"/>
      <c r="S768" s="2"/>
      <c r="T768" s="2"/>
      <c r="U768" s="2"/>
      <c r="V768" s="2"/>
      <c r="W768" s="2"/>
      <c r="X768" s="2"/>
      <c r="Y768" s="2"/>
    </row>
    <row r="769">
      <c r="A769" s="25"/>
      <c r="B769" s="25"/>
      <c r="C769" s="25"/>
      <c r="D769" s="26"/>
      <c r="E769" s="26"/>
      <c r="F769" s="25"/>
      <c r="G769" s="25"/>
      <c r="H769" s="25"/>
      <c r="I769" s="26"/>
      <c r="J769" s="26"/>
      <c r="K769" s="2"/>
      <c r="L769" s="2"/>
      <c r="M769" s="2"/>
      <c r="N769" s="2"/>
      <c r="O769" s="2"/>
      <c r="P769" s="2"/>
      <c r="Q769" s="2"/>
      <c r="R769" s="2"/>
      <c r="S769" s="2"/>
      <c r="T769" s="2"/>
      <c r="U769" s="2"/>
      <c r="V769" s="2"/>
      <c r="W769" s="2"/>
      <c r="X769" s="2"/>
      <c r="Y769" s="2"/>
    </row>
    <row r="770">
      <c r="A770" s="25"/>
      <c r="B770" s="25"/>
      <c r="C770" s="25"/>
      <c r="D770" s="26"/>
      <c r="E770" s="26"/>
      <c r="F770" s="25"/>
      <c r="G770" s="25"/>
      <c r="H770" s="25"/>
      <c r="I770" s="26"/>
      <c r="J770" s="26"/>
      <c r="K770" s="2"/>
      <c r="L770" s="2"/>
      <c r="M770" s="2"/>
      <c r="N770" s="2"/>
      <c r="O770" s="2"/>
      <c r="P770" s="2"/>
      <c r="Q770" s="2"/>
      <c r="R770" s="2"/>
      <c r="S770" s="2"/>
      <c r="T770" s="2"/>
      <c r="U770" s="2"/>
      <c r="V770" s="2"/>
      <c r="W770" s="2"/>
      <c r="X770" s="2"/>
      <c r="Y770" s="2"/>
    </row>
    <row r="771">
      <c r="A771" s="25"/>
      <c r="B771" s="25"/>
      <c r="C771" s="25"/>
      <c r="D771" s="26"/>
      <c r="E771" s="26"/>
      <c r="F771" s="25"/>
      <c r="G771" s="25"/>
      <c r="H771" s="25"/>
      <c r="I771" s="26"/>
      <c r="J771" s="26"/>
      <c r="K771" s="2"/>
      <c r="L771" s="2"/>
      <c r="M771" s="2"/>
      <c r="N771" s="2"/>
      <c r="O771" s="2"/>
      <c r="P771" s="2"/>
      <c r="Q771" s="2"/>
      <c r="R771" s="2"/>
      <c r="S771" s="2"/>
      <c r="T771" s="2"/>
      <c r="U771" s="2"/>
      <c r="V771" s="2"/>
      <c r="W771" s="2"/>
      <c r="X771" s="2"/>
      <c r="Y771" s="2"/>
    </row>
    <row r="772">
      <c r="A772" s="25"/>
      <c r="B772" s="25"/>
      <c r="C772" s="25"/>
      <c r="D772" s="26"/>
      <c r="E772" s="26"/>
      <c r="F772" s="25"/>
      <c r="G772" s="25"/>
      <c r="H772" s="25"/>
      <c r="I772" s="26"/>
      <c r="J772" s="26"/>
      <c r="K772" s="2"/>
      <c r="L772" s="2"/>
      <c r="M772" s="2"/>
      <c r="N772" s="2"/>
      <c r="O772" s="2"/>
      <c r="P772" s="2"/>
      <c r="Q772" s="2"/>
      <c r="R772" s="2"/>
      <c r="S772" s="2"/>
      <c r="T772" s="2"/>
      <c r="U772" s="2"/>
      <c r="V772" s="2"/>
      <c r="W772" s="2"/>
      <c r="X772" s="2"/>
      <c r="Y772" s="2"/>
    </row>
    <row r="773">
      <c r="A773" s="25"/>
      <c r="B773" s="25"/>
      <c r="C773" s="25"/>
      <c r="D773" s="26"/>
      <c r="E773" s="26"/>
      <c r="F773" s="25"/>
      <c r="G773" s="25"/>
      <c r="H773" s="25"/>
      <c r="I773" s="26"/>
      <c r="J773" s="26"/>
      <c r="K773" s="2"/>
      <c r="L773" s="2"/>
      <c r="M773" s="2"/>
      <c r="N773" s="2"/>
      <c r="O773" s="2"/>
      <c r="P773" s="2"/>
      <c r="Q773" s="2"/>
      <c r="R773" s="2"/>
      <c r="S773" s="2"/>
      <c r="T773" s="2"/>
      <c r="U773" s="2"/>
      <c r="V773" s="2"/>
      <c r="W773" s="2"/>
      <c r="X773" s="2"/>
      <c r="Y773" s="2"/>
    </row>
    <row r="774">
      <c r="A774" s="25"/>
      <c r="B774" s="25"/>
      <c r="C774" s="25"/>
      <c r="D774" s="26"/>
      <c r="E774" s="26"/>
      <c r="F774" s="25"/>
      <c r="G774" s="25"/>
      <c r="H774" s="25"/>
      <c r="I774" s="26"/>
      <c r="J774" s="26"/>
      <c r="K774" s="2"/>
      <c r="L774" s="2"/>
      <c r="M774" s="2"/>
      <c r="N774" s="2"/>
      <c r="O774" s="2"/>
      <c r="P774" s="2"/>
      <c r="Q774" s="2"/>
      <c r="R774" s="2"/>
      <c r="S774" s="2"/>
      <c r="T774" s="2"/>
      <c r="U774" s="2"/>
      <c r="V774" s="2"/>
      <c r="W774" s="2"/>
      <c r="X774" s="2"/>
      <c r="Y774" s="2"/>
    </row>
    <row r="775">
      <c r="A775" s="25"/>
      <c r="B775" s="25"/>
      <c r="C775" s="25"/>
      <c r="D775" s="26"/>
      <c r="E775" s="26"/>
      <c r="F775" s="25"/>
      <c r="G775" s="25"/>
      <c r="H775" s="25"/>
      <c r="I775" s="26"/>
      <c r="J775" s="26"/>
      <c r="K775" s="2"/>
      <c r="L775" s="2"/>
      <c r="M775" s="2"/>
      <c r="N775" s="2"/>
      <c r="O775" s="2"/>
      <c r="P775" s="2"/>
      <c r="Q775" s="2"/>
      <c r="R775" s="2"/>
      <c r="S775" s="2"/>
      <c r="T775" s="2"/>
      <c r="U775" s="2"/>
      <c r="V775" s="2"/>
      <c r="W775" s="2"/>
      <c r="X775" s="2"/>
      <c r="Y775" s="2"/>
    </row>
    <row r="776">
      <c r="A776" s="25"/>
      <c r="B776" s="25"/>
      <c r="C776" s="25"/>
      <c r="D776" s="26"/>
      <c r="E776" s="26"/>
      <c r="F776" s="25"/>
      <c r="G776" s="25"/>
      <c r="H776" s="25"/>
      <c r="I776" s="26"/>
      <c r="J776" s="26"/>
      <c r="K776" s="2"/>
      <c r="L776" s="2"/>
      <c r="M776" s="2"/>
      <c r="N776" s="2"/>
      <c r="O776" s="2"/>
      <c r="P776" s="2"/>
      <c r="Q776" s="2"/>
      <c r="R776" s="2"/>
      <c r="S776" s="2"/>
      <c r="T776" s="2"/>
      <c r="U776" s="2"/>
      <c r="V776" s="2"/>
      <c r="W776" s="2"/>
      <c r="X776" s="2"/>
      <c r="Y776" s="2"/>
    </row>
    <row r="777">
      <c r="A777" s="25"/>
      <c r="B777" s="25"/>
      <c r="C777" s="25"/>
      <c r="D777" s="26"/>
      <c r="E777" s="26"/>
      <c r="F777" s="25"/>
      <c r="G777" s="25"/>
      <c r="H777" s="25"/>
      <c r="I777" s="26"/>
      <c r="J777" s="26"/>
      <c r="K777" s="2"/>
      <c r="L777" s="2"/>
      <c r="M777" s="2"/>
      <c r="N777" s="2"/>
      <c r="O777" s="2"/>
      <c r="P777" s="2"/>
      <c r="Q777" s="2"/>
      <c r="R777" s="2"/>
      <c r="S777" s="2"/>
      <c r="T777" s="2"/>
      <c r="U777" s="2"/>
      <c r="V777" s="2"/>
      <c r="W777" s="2"/>
      <c r="X777" s="2"/>
      <c r="Y777" s="2"/>
    </row>
    <row r="778">
      <c r="A778" s="25"/>
      <c r="B778" s="25"/>
      <c r="C778" s="25"/>
      <c r="D778" s="26"/>
      <c r="E778" s="26"/>
      <c r="F778" s="25"/>
      <c r="G778" s="25"/>
      <c r="H778" s="25"/>
      <c r="I778" s="26"/>
      <c r="J778" s="26"/>
      <c r="K778" s="2"/>
      <c r="L778" s="2"/>
      <c r="M778" s="2"/>
      <c r="N778" s="2"/>
      <c r="O778" s="2"/>
      <c r="P778" s="2"/>
      <c r="Q778" s="2"/>
      <c r="R778" s="2"/>
      <c r="S778" s="2"/>
      <c r="T778" s="2"/>
      <c r="U778" s="2"/>
      <c r="V778" s="2"/>
      <c r="W778" s="2"/>
      <c r="X778" s="2"/>
      <c r="Y778" s="2"/>
    </row>
    <row r="779">
      <c r="A779" s="25"/>
      <c r="B779" s="25"/>
      <c r="C779" s="25"/>
      <c r="D779" s="26"/>
      <c r="E779" s="26"/>
      <c r="F779" s="25"/>
      <c r="G779" s="25"/>
      <c r="H779" s="25"/>
      <c r="I779" s="26"/>
      <c r="J779" s="26"/>
      <c r="K779" s="2"/>
      <c r="L779" s="2"/>
      <c r="M779" s="2"/>
      <c r="N779" s="2"/>
      <c r="O779" s="2"/>
      <c r="P779" s="2"/>
      <c r="Q779" s="2"/>
      <c r="R779" s="2"/>
      <c r="S779" s="2"/>
      <c r="T779" s="2"/>
      <c r="U779" s="2"/>
      <c r="V779" s="2"/>
      <c r="W779" s="2"/>
      <c r="X779" s="2"/>
      <c r="Y779" s="2"/>
    </row>
    <row r="780">
      <c r="A780" s="25"/>
      <c r="B780" s="25"/>
      <c r="C780" s="25"/>
      <c r="D780" s="26"/>
      <c r="E780" s="26"/>
      <c r="F780" s="25"/>
      <c r="G780" s="25"/>
      <c r="H780" s="25"/>
      <c r="I780" s="26"/>
      <c r="J780" s="26"/>
      <c r="K780" s="2"/>
      <c r="L780" s="2"/>
      <c r="M780" s="2"/>
      <c r="N780" s="2"/>
      <c r="O780" s="2"/>
      <c r="P780" s="2"/>
      <c r="Q780" s="2"/>
      <c r="R780" s="2"/>
      <c r="S780" s="2"/>
      <c r="T780" s="2"/>
      <c r="U780" s="2"/>
      <c r="V780" s="2"/>
      <c r="W780" s="2"/>
      <c r="X780" s="2"/>
      <c r="Y780" s="2"/>
    </row>
    <row r="781">
      <c r="A781" s="25"/>
      <c r="B781" s="25"/>
      <c r="C781" s="25"/>
      <c r="D781" s="26"/>
      <c r="E781" s="26"/>
      <c r="F781" s="25"/>
      <c r="G781" s="25"/>
      <c r="H781" s="25"/>
      <c r="I781" s="26"/>
      <c r="J781" s="26"/>
      <c r="K781" s="2"/>
      <c r="L781" s="2"/>
      <c r="M781" s="2"/>
      <c r="N781" s="2"/>
      <c r="O781" s="2"/>
      <c r="P781" s="2"/>
      <c r="Q781" s="2"/>
      <c r="R781" s="2"/>
      <c r="S781" s="2"/>
      <c r="T781" s="2"/>
      <c r="U781" s="2"/>
      <c r="V781" s="2"/>
      <c r="W781" s="2"/>
      <c r="X781" s="2"/>
      <c r="Y781" s="2"/>
    </row>
    <row r="782">
      <c r="A782" s="25"/>
      <c r="B782" s="25"/>
      <c r="C782" s="25"/>
      <c r="D782" s="26"/>
      <c r="E782" s="26"/>
      <c r="F782" s="25"/>
      <c r="G782" s="25"/>
      <c r="H782" s="25"/>
      <c r="I782" s="26"/>
      <c r="J782" s="26"/>
      <c r="K782" s="2"/>
      <c r="L782" s="2"/>
      <c r="M782" s="2"/>
      <c r="N782" s="2"/>
      <c r="O782" s="2"/>
      <c r="P782" s="2"/>
      <c r="Q782" s="2"/>
      <c r="R782" s="2"/>
      <c r="S782" s="2"/>
      <c r="T782" s="2"/>
      <c r="U782" s="2"/>
      <c r="V782" s="2"/>
      <c r="W782" s="2"/>
      <c r="X782" s="2"/>
      <c r="Y782" s="2"/>
    </row>
    <row r="783">
      <c r="A783" s="25"/>
      <c r="B783" s="25"/>
      <c r="C783" s="25"/>
      <c r="D783" s="26"/>
      <c r="E783" s="26"/>
      <c r="F783" s="25"/>
      <c r="G783" s="25"/>
      <c r="H783" s="25"/>
      <c r="I783" s="26"/>
      <c r="J783" s="26"/>
      <c r="K783" s="2"/>
      <c r="L783" s="2"/>
      <c r="M783" s="2"/>
      <c r="N783" s="2"/>
      <c r="O783" s="2"/>
      <c r="P783" s="2"/>
      <c r="Q783" s="2"/>
      <c r="R783" s="2"/>
      <c r="S783" s="2"/>
      <c r="T783" s="2"/>
      <c r="U783" s="2"/>
      <c r="V783" s="2"/>
      <c r="W783" s="2"/>
      <c r="X783" s="2"/>
      <c r="Y783" s="2"/>
    </row>
    <row r="784">
      <c r="A784" s="25"/>
      <c r="B784" s="25"/>
      <c r="C784" s="25"/>
      <c r="D784" s="26"/>
      <c r="E784" s="26"/>
      <c r="F784" s="25"/>
      <c r="G784" s="25"/>
      <c r="H784" s="25"/>
      <c r="I784" s="26"/>
      <c r="J784" s="26"/>
      <c r="K784" s="2"/>
      <c r="L784" s="2"/>
      <c r="M784" s="2"/>
      <c r="N784" s="2"/>
      <c r="O784" s="2"/>
      <c r="P784" s="2"/>
      <c r="Q784" s="2"/>
      <c r="R784" s="2"/>
      <c r="S784" s="2"/>
      <c r="T784" s="2"/>
      <c r="U784" s="2"/>
      <c r="V784" s="2"/>
      <c r="W784" s="2"/>
      <c r="X784" s="2"/>
      <c r="Y784" s="2"/>
    </row>
    <row r="785">
      <c r="A785" s="25"/>
      <c r="B785" s="25"/>
      <c r="C785" s="25"/>
      <c r="D785" s="26"/>
      <c r="E785" s="26"/>
      <c r="F785" s="25"/>
      <c r="G785" s="25"/>
      <c r="H785" s="25"/>
      <c r="I785" s="26"/>
      <c r="J785" s="26"/>
      <c r="K785" s="2"/>
      <c r="L785" s="2"/>
      <c r="M785" s="2"/>
      <c r="N785" s="2"/>
      <c r="O785" s="2"/>
      <c r="P785" s="2"/>
      <c r="Q785" s="2"/>
      <c r="R785" s="2"/>
      <c r="S785" s="2"/>
      <c r="T785" s="2"/>
      <c r="U785" s="2"/>
      <c r="V785" s="2"/>
      <c r="W785" s="2"/>
      <c r="X785" s="2"/>
      <c r="Y785" s="2"/>
    </row>
    <row r="786">
      <c r="A786" s="25"/>
      <c r="B786" s="25"/>
      <c r="C786" s="25"/>
      <c r="D786" s="26"/>
      <c r="E786" s="26"/>
      <c r="F786" s="25"/>
      <c r="G786" s="25"/>
      <c r="H786" s="25"/>
      <c r="I786" s="26"/>
      <c r="J786" s="26"/>
      <c r="K786" s="2"/>
      <c r="L786" s="2"/>
      <c r="M786" s="2"/>
      <c r="N786" s="2"/>
      <c r="O786" s="2"/>
      <c r="P786" s="2"/>
      <c r="Q786" s="2"/>
      <c r="R786" s="2"/>
      <c r="S786" s="2"/>
      <c r="T786" s="2"/>
      <c r="U786" s="2"/>
      <c r="V786" s="2"/>
      <c r="W786" s="2"/>
      <c r="X786" s="2"/>
      <c r="Y786" s="2"/>
    </row>
    <row r="787">
      <c r="A787" s="25"/>
      <c r="B787" s="25"/>
      <c r="C787" s="25"/>
      <c r="D787" s="26"/>
      <c r="E787" s="26"/>
      <c r="F787" s="25"/>
      <c r="G787" s="25"/>
      <c r="H787" s="25"/>
      <c r="I787" s="26"/>
      <c r="J787" s="26"/>
      <c r="K787" s="2"/>
      <c r="L787" s="2"/>
      <c r="M787" s="2"/>
      <c r="N787" s="2"/>
      <c r="O787" s="2"/>
      <c r="P787" s="2"/>
      <c r="Q787" s="2"/>
      <c r="R787" s="2"/>
      <c r="S787" s="2"/>
      <c r="T787" s="2"/>
      <c r="U787" s="2"/>
      <c r="V787" s="2"/>
      <c r="W787" s="2"/>
      <c r="X787" s="2"/>
      <c r="Y787" s="2"/>
    </row>
    <row r="788">
      <c r="A788" s="25"/>
      <c r="B788" s="25"/>
      <c r="C788" s="25"/>
      <c r="D788" s="26"/>
      <c r="E788" s="26"/>
      <c r="F788" s="25"/>
      <c r="G788" s="25"/>
      <c r="H788" s="25"/>
      <c r="I788" s="26"/>
      <c r="J788" s="26"/>
      <c r="K788" s="2"/>
      <c r="L788" s="2"/>
      <c r="M788" s="2"/>
      <c r="N788" s="2"/>
      <c r="O788" s="2"/>
      <c r="P788" s="2"/>
      <c r="Q788" s="2"/>
      <c r="R788" s="2"/>
      <c r="S788" s="2"/>
      <c r="T788" s="2"/>
      <c r="U788" s="2"/>
      <c r="V788" s="2"/>
      <c r="W788" s="2"/>
      <c r="X788" s="2"/>
      <c r="Y788" s="2"/>
    </row>
    <row r="789">
      <c r="A789" s="25"/>
      <c r="B789" s="25"/>
      <c r="C789" s="25"/>
      <c r="D789" s="26"/>
      <c r="E789" s="26"/>
      <c r="F789" s="25"/>
      <c r="G789" s="25"/>
      <c r="H789" s="25"/>
      <c r="I789" s="26"/>
      <c r="J789" s="26"/>
      <c r="K789" s="2"/>
      <c r="L789" s="2"/>
      <c r="M789" s="2"/>
      <c r="N789" s="2"/>
      <c r="O789" s="2"/>
      <c r="P789" s="2"/>
      <c r="Q789" s="2"/>
      <c r="R789" s="2"/>
      <c r="S789" s="2"/>
      <c r="T789" s="2"/>
      <c r="U789" s="2"/>
      <c r="V789" s="2"/>
      <c r="W789" s="2"/>
      <c r="X789" s="2"/>
      <c r="Y789" s="2"/>
    </row>
    <row r="790">
      <c r="A790" s="25"/>
      <c r="B790" s="25"/>
      <c r="C790" s="25"/>
      <c r="D790" s="26"/>
      <c r="E790" s="26"/>
      <c r="F790" s="25"/>
      <c r="G790" s="25"/>
      <c r="H790" s="25"/>
      <c r="I790" s="26"/>
      <c r="J790" s="26"/>
      <c r="K790" s="2"/>
      <c r="L790" s="2"/>
      <c r="M790" s="2"/>
      <c r="N790" s="2"/>
      <c r="O790" s="2"/>
      <c r="P790" s="2"/>
      <c r="Q790" s="2"/>
      <c r="R790" s="2"/>
      <c r="S790" s="2"/>
      <c r="T790" s="2"/>
      <c r="U790" s="2"/>
      <c r="V790" s="2"/>
      <c r="W790" s="2"/>
      <c r="X790" s="2"/>
      <c r="Y790" s="2"/>
    </row>
    <row r="791">
      <c r="A791" s="25"/>
      <c r="B791" s="25"/>
      <c r="C791" s="25"/>
      <c r="D791" s="26"/>
      <c r="E791" s="26"/>
      <c r="F791" s="25"/>
      <c r="G791" s="25"/>
      <c r="H791" s="25"/>
      <c r="I791" s="26"/>
      <c r="J791" s="26"/>
      <c r="K791" s="2"/>
      <c r="L791" s="2"/>
      <c r="M791" s="2"/>
      <c r="N791" s="2"/>
      <c r="O791" s="2"/>
      <c r="P791" s="2"/>
      <c r="Q791" s="2"/>
      <c r="R791" s="2"/>
      <c r="S791" s="2"/>
      <c r="T791" s="2"/>
      <c r="U791" s="2"/>
      <c r="V791" s="2"/>
      <c r="W791" s="2"/>
      <c r="X791" s="2"/>
      <c r="Y791" s="2"/>
    </row>
    <row r="792">
      <c r="A792" s="25"/>
      <c r="B792" s="25"/>
      <c r="C792" s="25"/>
      <c r="D792" s="26"/>
      <c r="E792" s="26"/>
      <c r="F792" s="25"/>
      <c r="G792" s="25"/>
      <c r="H792" s="25"/>
      <c r="I792" s="26"/>
      <c r="J792" s="26"/>
      <c r="K792" s="2"/>
      <c r="L792" s="2"/>
      <c r="M792" s="2"/>
      <c r="N792" s="2"/>
      <c r="O792" s="2"/>
      <c r="P792" s="2"/>
      <c r="Q792" s="2"/>
      <c r="R792" s="2"/>
      <c r="S792" s="2"/>
      <c r="T792" s="2"/>
      <c r="U792" s="2"/>
      <c r="V792" s="2"/>
      <c r="W792" s="2"/>
      <c r="X792" s="2"/>
      <c r="Y792" s="2"/>
    </row>
    <row r="793">
      <c r="A793" s="25"/>
      <c r="B793" s="25"/>
      <c r="C793" s="25"/>
      <c r="D793" s="26"/>
      <c r="E793" s="26"/>
      <c r="F793" s="25"/>
      <c r="G793" s="25"/>
      <c r="H793" s="25"/>
      <c r="I793" s="26"/>
      <c r="J793" s="26"/>
      <c r="K793" s="2"/>
      <c r="L793" s="2"/>
      <c r="M793" s="2"/>
      <c r="N793" s="2"/>
      <c r="O793" s="2"/>
      <c r="P793" s="2"/>
      <c r="Q793" s="2"/>
      <c r="R793" s="2"/>
      <c r="S793" s="2"/>
      <c r="T793" s="2"/>
      <c r="U793" s="2"/>
      <c r="V793" s="2"/>
      <c r="W793" s="2"/>
      <c r="X793" s="2"/>
      <c r="Y793" s="2"/>
    </row>
    <row r="794">
      <c r="A794" s="25"/>
      <c r="B794" s="25"/>
      <c r="C794" s="25"/>
      <c r="D794" s="26"/>
      <c r="E794" s="26"/>
      <c r="F794" s="25"/>
      <c r="G794" s="25"/>
      <c r="H794" s="25"/>
      <c r="I794" s="26"/>
      <c r="J794" s="26"/>
      <c r="K794" s="2"/>
      <c r="L794" s="2"/>
      <c r="M794" s="2"/>
      <c r="N794" s="2"/>
      <c r="O794" s="2"/>
      <c r="P794" s="2"/>
      <c r="Q794" s="2"/>
      <c r="R794" s="2"/>
      <c r="S794" s="2"/>
      <c r="T794" s="2"/>
      <c r="U794" s="2"/>
      <c r="V794" s="2"/>
      <c r="W794" s="2"/>
      <c r="X794" s="2"/>
      <c r="Y794" s="2"/>
    </row>
    <row r="795">
      <c r="A795" s="25"/>
      <c r="B795" s="25"/>
      <c r="C795" s="25"/>
      <c r="D795" s="26"/>
      <c r="E795" s="26"/>
      <c r="F795" s="25"/>
      <c r="G795" s="25"/>
      <c r="H795" s="25"/>
      <c r="I795" s="26"/>
      <c r="J795" s="26"/>
      <c r="K795" s="2"/>
      <c r="L795" s="2"/>
      <c r="M795" s="2"/>
      <c r="N795" s="2"/>
      <c r="O795" s="2"/>
      <c r="P795" s="2"/>
      <c r="Q795" s="2"/>
      <c r="R795" s="2"/>
      <c r="S795" s="2"/>
      <c r="T795" s="2"/>
      <c r="U795" s="2"/>
      <c r="V795" s="2"/>
      <c r="W795" s="2"/>
      <c r="X795" s="2"/>
      <c r="Y795" s="2"/>
    </row>
    <row r="796">
      <c r="A796" s="25"/>
      <c r="B796" s="25"/>
      <c r="C796" s="25"/>
      <c r="D796" s="26"/>
      <c r="E796" s="26"/>
      <c r="F796" s="25"/>
      <c r="G796" s="25"/>
      <c r="H796" s="25"/>
      <c r="I796" s="26"/>
      <c r="J796" s="26"/>
      <c r="K796" s="2"/>
      <c r="L796" s="2"/>
      <c r="M796" s="2"/>
      <c r="N796" s="2"/>
      <c r="O796" s="2"/>
      <c r="P796" s="2"/>
      <c r="Q796" s="2"/>
      <c r="R796" s="2"/>
      <c r="S796" s="2"/>
      <c r="T796" s="2"/>
      <c r="U796" s="2"/>
      <c r="V796" s="2"/>
      <c r="W796" s="2"/>
      <c r="X796" s="2"/>
      <c r="Y796" s="2"/>
    </row>
    <row r="797">
      <c r="A797" s="25"/>
      <c r="B797" s="25"/>
      <c r="C797" s="25"/>
      <c r="D797" s="26"/>
      <c r="E797" s="26"/>
      <c r="F797" s="25"/>
      <c r="G797" s="25"/>
      <c r="H797" s="25"/>
      <c r="I797" s="26"/>
      <c r="J797" s="26"/>
      <c r="K797" s="2"/>
      <c r="L797" s="2"/>
      <c r="M797" s="2"/>
      <c r="N797" s="2"/>
      <c r="O797" s="2"/>
      <c r="P797" s="2"/>
      <c r="Q797" s="2"/>
      <c r="R797" s="2"/>
      <c r="S797" s="2"/>
      <c r="T797" s="2"/>
      <c r="U797" s="2"/>
      <c r="V797" s="2"/>
      <c r="W797" s="2"/>
      <c r="X797" s="2"/>
      <c r="Y797" s="2"/>
    </row>
    <row r="798">
      <c r="A798" s="25"/>
      <c r="B798" s="25"/>
      <c r="C798" s="25"/>
      <c r="D798" s="26"/>
      <c r="E798" s="26"/>
      <c r="F798" s="25"/>
      <c r="G798" s="25"/>
      <c r="H798" s="25"/>
      <c r="I798" s="26"/>
      <c r="J798" s="26"/>
      <c r="K798" s="2"/>
      <c r="L798" s="2"/>
      <c r="M798" s="2"/>
      <c r="N798" s="2"/>
      <c r="O798" s="2"/>
      <c r="P798" s="2"/>
      <c r="Q798" s="2"/>
      <c r="R798" s="2"/>
      <c r="S798" s="2"/>
      <c r="T798" s="2"/>
      <c r="U798" s="2"/>
      <c r="V798" s="2"/>
      <c r="W798" s="2"/>
      <c r="X798" s="2"/>
      <c r="Y798" s="2"/>
    </row>
    <row r="799">
      <c r="A799" s="25"/>
      <c r="B799" s="25"/>
      <c r="C799" s="25"/>
      <c r="D799" s="26"/>
      <c r="E799" s="26"/>
      <c r="F799" s="25"/>
      <c r="G799" s="25"/>
      <c r="H799" s="25"/>
      <c r="I799" s="26"/>
      <c r="J799" s="26"/>
      <c r="K799" s="2"/>
      <c r="L799" s="2"/>
      <c r="M799" s="2"/>
      <c r="N799" s="2"/>
      <c r="O799" s="2"/>
      <c r="P799" s="2"/>
      <c r="Q799" s="2"/>
      <c r="R799" s="2"/>
      <c r="S799" s="2"/>
      <c r="T799" s="2"/>
      <c r="U799" s="2"/>
      <c r="V799" s="2"/>
      <c r="W799" s="2"/>
      <c r="X799" s="2"/>
      <c r="Y799" s="2"/>
    </row>
    <row r="800">
      <c r="A800" s="25"/>
      <c r="B800" s="25"/>
      <c r="C800" s="25"/>
      <c r="D800" s="26"/>
      <c r="E800" s="26"/>
      <c r="F800" s="25"/>
      <c r="G800" s="25"/>
      <c r="H800" s="25"/>
      <c r="I800" s="26"/>
      <c r="J800" s="26"/>
      <c r="K800" s="2"/>
      <c r="L800" s="2"/>
      <c r="M800" s="2"/>
      <c r="N800" s="2"/>
      <c r="O800" s="2"/>
      <c r="P800" s="2"/>
      <c r="Q800" s="2"/>
      <c r="R800" s="2"/>
      <c r="S800" s="2"/>
      <c r="T800" s="2"/>
      <c r="U800" s="2"/>
      <c r="V800" s="2"/>
      <c r="W800" s="2"/>
      <c r="X800" s="2"/>
      <c r="Y800" s="2"/>
    </row>
    <row r="801">
      <c r="A801" s="25"/>
      <c r="B801" s="25"/>
      <c r="C801" s="25"/>
      <c r="D801" s="26"/>
      <c r="E801" s="26"/>
      <c r="F801" s="25"/>
      <c r="G801" s="25"/>
      <c r="H801" s="25"/>
      <c r="I801" s="26"/>
      <c r="J801" s="26"/>
      <c r="K801" s="2"/>
      <c r="L801" s="2"/>
      <c r="M801" s="2"/>
      <c r="N801" s="2"/>
      <c r="O801" s="2"/>
      <c r="P801" s="2"/>
      <c r="Q801" s="2"/>
      <c r="R801" s="2"/>
      <c r="S801" s="2"/>
      <c r="T801" s="2"/>
      <c r="U801" s="2"/>
      <c r="V801" s="2"/>
      <c r="W801" s="2"/>
      <c r="X801" s="2"/>
      <c r="Y801" s="2"/>
    </row>
    <row r="802">
      <c r="A802" s="25"/>
      <c r="B802" s="25"/>
      <c r="C802" s="25"/>
      <c r="D802" s="26"/>
      <c r="E802" s="26"/>
      <c r="F802" s="25"/>
      <c r="G802" s="25"/>
      <c r="H802" s="25"/>
      <c r="I802" s="26"/>
      <c r="J802" s="26"/>
      <c r="K802" s="2"/>
      <c r="L802" s="2"/>
      <c r="M802" s="2"/>
      <c r="N802" s="2"/>
      <c r="O802" s="2"/>
      <c r="P802" s="2"/>
      <c r="Q802" s="2"/>
      <c r="R802" s="2"/>
      <c r="S802" s="2"/>
      <c r="T802" s="2"/>
      <c r="U802" s="2"/>
      <c r="V802" s="2"/>
      <c r="W802" s="2"/>
      <c r="X802" s="2"/>
      <c r="Y802" s="2"/>
    </row>
    <row r="803">
      <c r="A803" s="25"/>
      <c r="B803" s="25"/>
      <c r="C803" s="25"/>
      <c r="D803" s="26"/>
      <c r="E803" s="26"/>
      <c r="F803" s="25"/>
      <c r="G803" s="25"/>
      <c r="H803" s="25"/>
      <c r="I803" s="26"/>
      <c r="J803" s="26"/>
      <c r="K803" s="2"/>
      <c r="L803" s="2"/>
      <c r="M803" s="2"/>
      <c r="N803" s="2"/>
      <c r="O803" s="2"/>
      <c r="P803" s="2"/>
      <c r="Q803" s="2"/>
      <c r="R803" s="2"/>
      <c r="S803" s="2"/>
      <c r="T803" s="2"/>
      <c r="U803" s="2"/>
      <c r="V803" s="2"/>
      <c r="W803" s="2"/>
      <c r="X803" s="2"/>
      <c r="Y803" s="2"/>
    </row>
    <row r="804">
      <c r="A804" s="25"/>
      <c r="B804" s="25"/>
      <c r="C804" s="25"/>
      <c r="D804" s="26"/>
      <c r="E804" s="26"/>
      <c r="F804" s="25"/>
      <c r="G804" s="25"/>
      <c r="H804" s="25"/>
      <c r="I804" s="26"/>
      <c r="J804" s="26"/>
      <c r="K804" s="2"/>
      <c r="L804" s="2"/>
      <c r="M804" s="2"/>
      <c r="N804" s="2"/>
      <c r="O804" s="2"/>
      <c r="P804" s="2"/>
      <c r="Q804" s="2"/>
      <c r="R804" s="2"/>
      <c r="S804" s="2"/>
      <c r="T804" s="2"/>
      <c r="U804" s="2"/>
      <c r="V804" s="2"/>
      <c r="W804" s="2"/>
      <c r="X804" s="2"/>
      <c r="Y804" s="2"/>
    </row>
    <row r="805">
      <c r="A805" s="25"/>
      <c r="B805" s="25"/>
      <c r="C805" s="25"/>
      <c r="D805" s="26"/>
      <c r="E805" s="26"/>
      <c r="F805" s="25"/>
      <c r="G805" s="25"/>
      <c r="H805" s="25"/>
      <c r="I805" s="26"/>
      <c r="J805" s="26"/>
      <c r="K805" s="2"/>
      <c r="L805" s="2"/>
      <c r="M805" s="2"/>
      <c r="N805" s="2"/>
      <c r="O805" s="2"/>
      <c r="P805" s="2"/>
      <c r="Q805" s="2"/>
      <c r="R805" s="2"/>
      <c r="S805" s="2"/>
      <c r="T805" s="2"/>
      <c r="U805" s="2"/>
      <c r="V805" s="2"/>
      <c r="W805" s="2"/>
      <c r="X805" s="2"/>
      <c r="Y805" s="2"/>
    </row>
    <row r="806">
      <c r="A806" s="25"/>
      <c r="B806" s="25"/>
      <c r="C806" s="25"/>
      <c r="D806" s="26"/>
      <c r="E806" s="26"/>
      <c r="F806" s="25"/>
      <c r="G806" s="25"/>
      <c r="H806" s="25"/>
      <c r="I806" s="26"/>
      <c r="J806" s="26"/>
      <c r="K806" s="2"/>
      <c r="L806" s="2"/>
      <c r="M806" s="2"/>
      <c r="N806" s="2"/>
      <c r="O806" s="2"/>
      <c r="P806" s="2"/>
      <c r="Q806" s="2"/>
      <c r="R806" s="2"/>
      <c r="S806" s="2"/>
      <c r="T806" s="2"/>
      <c r="U806" s="2"/>
      <c r="V806" s="2"/>
      <c r="W806" s="2"/>
      <c r="X806" s="2"/>
      <c r="Y806" s="2"/>
    </row>
    <row r="807">
      <c r="A807" s="25"/>
      <c r="B807" s="25"/>
      <c r="C807" s="25"/>
      <c r="D807" s="26"/>
      <c r="E807" s="26"/>
      <c r="F807" s="25"/>
      <c r="G807" s="25"/>
      <c r="H807" s="25"/>
      <c r="I807" s="26"/>
      <c r="J807" s="26"/>
      <c r="K807" s="2"/>
      <c r="L807" s="2"/>
      <c r="M807" s="2"/>
      <c r="N807" s="2"/>
      <c r="O807" s="2"/>
      <c r="P807" s="2"/>
      <c r="Q807" s="2"/>
      <c r="R807" s="2"/>
      <c r="S807" s="2"/>
      <c r="T807" s="2"/>
      <c r="U807" s="2"/>
      <c r="V807" s="2"/>
      <c r="W807" s="2"/>
      <c r="X807" s="2"/>
      <c r="Y807" s="2"/>
    </row>
    <row r="808">
      <c r="A808" s="25"/>
      <c r="B808" s="25"/>
      <c r="C808" s="25"/>
      <c r="D808" s="26"/>
      <c r="E808" s="26"/>
      <c r="F808" s="25"/>
      <c r="G808" s="25"/>
      <c r="H808" s="25"/>
      <c r="I808" s="26"/>
      <c r="J808" s="26"/>
      <c r="K808" s="2"/>
      <c r="L808" s="2"/>
      <c r="M808" s="2"/>
      <c r="N808" s="2"/>
      <c r="O808" s="2"/>
      <c r="P808" s="2"/>
      <c r="Q808" s="2"/>
      <c r="R808" s="2"/>
      <c r="S808" s="2"/>
      <c r="T808" s="2"/>
      <c r="U808" s="2"/>
      <c r="V808" s="2"/>
      <c r="W808" s="2"/>
      <c r="X808" s="2"/>
      <c r="Y808" s="2"/>
    </row>
    <row r="809">
      <c r="A809" s="25"/>
      <c r="B809" s="25"/>
      <c r="C809" s="25"/>
      <c r="D809" s="26"/>
      <c r="E809" s="26"/>
      <c r="F809" s="25"/>
      <c r="G809" s="25"/>
      <c r="H809" s="25"/>
      <c r="I809" s="26"/>
      <c r="J809" s="26"/>
      <c r="K809" s="2"/>
      <c r="L809" s="2"/>
      <c r="M809" s="2"/>
      <c r="N809" s="2"/>
      <c r="O809" s="2"/>
      <c r="P809" s="2"/>
      <c r="Q809" s="2"/>
      <c r="R809" s="2"/>
      <c r="S809" s="2"/>
      <c r="T809" s="2"/>
      <c r="U809" s="2"/>
      <c r="V809" s="2"/>
      <c r="W809" s="2"/>
      <c r="X809" s="2"/>
      <c r="Y809" s="2"/>
    </row>
    <row r="810">
      <c r="A810" s="25"/>
      <c r="B810" s="25"/>
      <c r="C810" s="25"/>
      <c r="D810" s="26"/>
      <c r="E810" s="26"/>
      <c r="F810" s="25"/>
      <c r="G810" s="25"/>
      <c r="H810" s="25"/>
      <c r="I810" s="26"/>
      <c r="J810" s="26"/>
      <c r="K810" s="2"/>
      <c r="L810" s="2"/>
      <c r="M810" s="2"/>
      <c r="N810" s="2"/>
      <c r="O810" s="2"/>
      <c r="P810" s="2"/>
      <c r="Q810" s="2"/>
      <c r="R810" s="2"/>
      <c r="S810" s="2"/>
      <c r="T810" s="2"/>
      <c r="U810" s="2"/>
      <c r="V810" s="2"/>
      <c r="W810" s="2"/>
      <c r="X810" s="2"/>
      <c r="Y810" s="2"/>
    </row>
    <row r="811">
      <c r="A811" s="25"/>
      <c r="B811" s="25"/>
      <c r="C811" s="25"/>
      <c r="D811" s="26"/>
      <c r="E811" s="26"/>
      <c r="F811" s="25"/>
      <c r="G811" s="25"/>
      <c r="H811" s="25"/>
      <c r="I811" s="26"/>
      <c r="J811" s="26"/>
      <c r="K811" s="2"/>
      <c r="L811" s="2"/>
      <c r="M811" s="2"/>
      <c r="N811" s="2"/>
      <c r="O811" s="2"/>
      <c r="P811" s="2"/>
      <c r="Q811" s="2"/>
      <c r="R811" s="2"/>
      <c r="S811" s="2"/>
      <c r="T811" s="2"/>
      <c r="U811" s="2"/>
      <c r="V811" s="2"/>
      <c r="W811" s="2"/>
      <c r="X811" s="2"/>
      <c r="Y811" s="2"/>
    </row>
    <row r="812">
      <c r="A812" s="25"/>
      <c r="B812" s="25"/>
      <c r="C812" s="25"/>
      <c r="D812" s="26"/>
      <c r="E812" s="26"/>
      <c r="F812" s="25"/>
      <c r="G812" s="25"/>
      <c r="H812" s="25"/>
      <c r="I812" s="26"/>
      <c r="J812" s="26"/>
      <c r="K812" s="2"/>
      <c r="L812" s="2"/>
      <c r="M812" s="2"/>
      <c r="N812" s="2"/>
      <c r="O812" s="2"/>
      <c r="P812" s="2"/>
      <c r="Q812" s="2"/>
      <c r="R812" s="2"/>
      <c r="S812" s="2"/>
      <c r="T812" s="2"/>
      <c r="U812" s="2"/>
      <c r="V812" s="2"/>
      <c r="W812" s="2"/>
      <c r="X812" s="2"/>
      <c r="Y812" s="2"/>
    </row>
    <row r="813">
      <c r="A813" s="25"/>
      <c r="B813" s="25"/>
      <c r="C813" s="25"/>
      <c r="D813" s="26"/>
      <c r="E813" s="26"/>
      <c r="F813" s="25"/>
      <c r="G813" s="25"/>
      <c r="H813" s="25"/>
      <c r="I813" s="26"/>
      <c r="J813" s="26"/>
      <c r="K813" s="2"/>
      <c r="L813" s="2"/>
      <c r="M813" s="2"/>
      <c r="N813" s="2"/>
      <c r="O813" s="2"/>
      <c r="P813" s="2"/>
      <c r="Q813" s="2"/>
      <c r="R813" s="2"/>
      <c r="S813" s="2"/>
      <c r="T813" s="2"/>
      <c r="U813" s="2"/>
      <c r="V813" s="2"/>
      <c r="W813" s="2"/>
      <c r="X813" s="2"/>
      <c r="Y813" s="2"/>
    </row>
    <row r="814">
      <c r="A814" s="25"/>
      <c r="B814" s="25"/>
      <c r="C814" s="25"/>
      <c r="D814" s="26"/>
      <c r="E814" s="26"/>
      <c r="F814" s="25"/>
      <c r="G814" s="25"/>
      <c r="H814" s="25"/>
      <c r="I814" s="26"/>
      <c r="J814" s="26"/>
      <c r="K814" s="2"/>
      <c r="L814" s="2"/>
      <c r="M814" s="2"/>
      <c r="N814" s="2"/>
      <c r="O814" s="2"/>
      <c r="P814" s="2"/>
      <c r="Q814" s="2"/>
      <c r="R814" s="2"/>
      <c r="S814" s="2"/>
      <c r="T814" s="2"/>
      <c r="U814" s="2"/>
      <c r="V814" s="2"/>
      <c r="W814" s="2"/>
      <c r="X814" s="2"/>
      <c r="Y814" s="2"/>
    </row>
    <row r="815">
      <c r="A815" s="25"/>
      <c r="B815" s="25"/>
      <c r="C815" s="25"/>
      <c r="D815" s="26"/>
      <c r="E815" s="26"/>
      <c r="F815" s="25"/>
      <c r="G815" s="25"/>
      <c r="H815" s="25"/>
      <c r="I815" s="26"/>
      <c r="J815" s="26"/>
      <c r="K815" s="2"/>
      <c r="L815" s="2"/>
      <c r="M815" s="2"/>
      <c r="N815" s="2"/>
      <c r="O815" s="2"/>
      <c r="P815" s="2"/>
      <c r="Q815" s="2"/>
      <c r="R815" s="2"/>
      <c r="S815" s="2"/>
      <c r="T815" s="2"/>
      <c r="U815" s="2"/>
      <c r="V815" s="2"/>
      <c r="W815" s="2"/>
      <c r="X815" s="2"/>
      <c r="Y815" s="2"/>
    </row>
    <row r="816">
      <c r="A816" s="25"/>
      <c r="B816" s="25"/>
      <c r="C816" s="25"/>
      <c r="D816" s="26"/>
      <c r="E816" s="26"/>
      <c r="F816" s="25"/>
      <c r="G816" s="25"/>
      <c r="H816" s="25"/>
      <c r="I816" s="26"/>
      <c r="J816" s="26"/>
      <c r="K816" s="2"/>
      <c r="L816" s="2"/>
      <c r="M816" s="2"/>
      <c r="N816" s="2"/>
      <c r="O816" s="2"/>
      <c r="P816" s="2"/>
      <c r="Q816" s="2"/>
      <c r="R816" s="2"/>
      <c r="S816" s="2"/>
      <c r="T816" s="2"/>
      <c r="U816" s="2"/>
      <c r="V816" s="2"/>
      <c r="W816" s="2"/>
      <c r="X816" s="2"/>
      <c r="Y816" s="2"/>
    </row>
    <row r="817">
      <c r="A817" s="25"/>
      <c r="B817" s="25"/>
      <c r="C817" s="25"/>
      <c r="D817" s="26"/>
      <c r="E817" s="26"/>
      <c r="F817" s="25"/>
      <c r="G817" s="25"/>
      <c r="H817" s="25"/>
      <c r="I817" s="26"/>
      <c r="J817" s="26"/>
      <c r="K817" s="2"/>
      <c r="L817" s="2"/>
      <c r="M817" s="2"/>
      <c r="N817" s="2"/>
      <c r="O817" s="2"/>
      <c r="P817" s="2"/>
      <c r="Q817" s="2"/>
      <c r="R817" s="2"/>
      <c r="S817" s="2"/>
      <c r="T817" s="2"/>
      <c r="U817" s="2"/>
      <c r="V817" s="2"/>
      <c r="W817" s="2"/>
      <c r="X817" s="2"/>
      <c r="Y817" s="2"/>
    </row>
    <row r="818">
      <c r="A818" s="25"/>
      <c r="B818" s="25"/>
      <c r="C818" s="25"/>
      <c r="D818" s="26"/>
      <c r="E818" s="26"/>
      <c r="F818" s="25"/>
      <c r="G818" s="25"/>
      <c r="H818" s="25"/>
      <c r="I818" s="26"/>
      <c r="J818" s="26"/>
      <c r="K818" s="2"/>
      <c r="L818" s="2"/>
      <c r="M818" s="2"/>
      <c r="N818" s="2"/>
      <c r="O818" s="2"/>
      <c r="P818" s="2"/>
      <c r="Q818" s="2"/>
      <c r="R818" s="2"/>
      <c r="S818" s="2"/>
      <c r="T818" s="2"/>
      <c r="U818" s="2"/>
      <c r="V818" s="2"/>
      <c r="W818" s="2"/>
      <c r="X818" s="2"/>
      <c r="Y818" s="2"/>
    </row>
    <row r="819">
      <c r="A819" s="25"/>
      <c r="B819" s="25"/>
      <c r="C819" s="25"/>
      <c r="D819" s="26"/>
      <c r="E819" s="26"/>
      <c r="F819" s="25"/>
      <c r="G819" s="25"/>
      <c r="H819" s="25"/>
      <c r="I819" s="26"/>
      <c r="J819" s="26"/>
      <c r="K819" s="2"/>
      <c r="L819" s="2"/>
      <c r="M819" s="2"/>
      <c r="N819" s="2"/>
      <c r="O819" s="2"/>
      <c r="P819" s="2"/>
      <c r="Q819" s="2"/>
      <c r="R819" s="2"/>
      <c r="S819" s="2"/>
      <c r="T819" s="2"/>
      <c r="U819" s="2"/>
      <c r="V819" s="2"/>
      <c r="W819" s="2"/>
      <c r="X819" s="2"/>
      <c r="Y819" s="2"/>
    </row>
    <row r="820">
      <c r="A820" s="25"/>
      <c r="B820" s="25"/>
      <c r="C820" s="25"/>
      <c r="D820" s="26"/>
      <c r="E820" s="26"/>
      <c r="F820" s="25"/>
      <c r="G820" s="25"/>
      <c r="H820" s="25"/>
      <c r="I820" s="26"/>
      <c r="J820" s="26"/>
      <c r="K820" s="2"/>
      <c r="L820" s="2"/>
      <c r="M820" s="2"/>
      <c r="N820" s="2"/>
      <c r="O820" s="2"/>
      <c r="P820" s="2"/>
      <c r="Q820" s="2"/>
      <c r="R820" s="2"/>
      <c r="S820" s="2"/>
      <c r="T820" s="2"/>
      <c r="U820" s="2"/>
      <c r="V820" s="2"/>
      <c r="W820" s="2"/>
      <c r="X820" s="2"/>
      <c r="Y820" s="2"/>
    </row>
    <row r="821">
      <c r="A821" s="25"/>
      <c r="B821" s="25"/>
      <c r="C821" s="25"/>
      <c r="D821" s="26"/>
      <c r="E821" s="26"/>
      <c r="F821" s="25"/>
      <c r="G821" s="25"/>
      <c r="H821" s="25"/>
      <c r="I821" s="26"/>
      <c r="J821" s="26"/>
      <c r="K821" s="2"/>
      <c r="L821" s="2"/>
      <c r="M821" s="2"/>
      <c r="N821" s="2"/>
      <c r="O821" s="2"/>
      <c r="P821" s="2"/>
      <c r="Q821" s="2"/>
      <c r="R821" s="2"/>
      <c r="S821" s="2"/>
      <c r="T821" s="2"/>
      <c r="U821" s="2"/>
      <c r="V821" s="2"/>
      <c r="W821" s="2"/>
      <c r="X821" s="2"/>
      <c r="Y821" s="2"/>
    </row>
    <row r="822">
      <c r="A822" s="25"/>
      <c r="B822" s="25"/>
      <c r="C822" s="25"/>
      <c r="D822" s="26"/>
      <c r="E822" s="26"/>
      <c r="F822" s="25"/>
      <c r="G822" s="25"/>
      <c r="H822" s="25"/>
      <c r="I822" s="26"/>
      <c r="J822" s="26"/>
      <c r="K822" s="2"/>
      <c r="L822" s="2"/>
      <c r="M822" s="2"/>
      <c r="N822" s="2"/>
      <c r="O822" s="2"/>
      <c r="P822" s="2"/>
      <c r="Q822" s="2"/>
      <c r="R822" s="2"/>
      <c r="S822" s="2"/>
      <c r="T822" s="2"/>
      <c r="U822" s="2"/>
      <c r="V822" s="2"/>
      <c r="W822" s="2"/>
      <c r="X822" s="2"/>
      <c r="Y822" s="2"/>
    </row>
    <row r="823">
      <c r="A823" s="25"/>
      <c r="B823" s="25"/>
      <c r="C823" s="25"/>
      <c r="D823" s="26"/>
      <c r="E823" s="26"/>
      <c r="F823" s="25"/>
      <c r="G823" s="25"/>
      <c r="H823" s="25"/>
      <c r="I823" s="26"/>
      <c r="J823" s="26"/>
      <c r="K823" s="2"/>
      <c r="L823" s="2"/>
      <c r="M823" s="2"/>
      <c r="N823" s="2"/>
      <c r="O823" s="2"/>
      <c r="P823" s="2"/>
      <c r="Q823" s="2"/>
      <c r="R823" s="2"/>
      <c r="S823" s="2"/>
      <c r="T823" s="2"/>
      <c r="U823" s="2"/>
      <c r="V823" s="2"/>
      <c r="W823" s="2"/>
      <c r="X823" s="2"/>
      <c r="Y823" s="2"/>
    </row>
    <row r="824">
      <c r="A824" s="25"/>
      <c r="B824" s="25"/>
      <c r="C824" s="25"/>
      <c r="D824" s="26"/>
      <c r="E824" s="26"/>
      <c r="F824" s="25"/>
      <c r="G824" s="25"/>
      <c r="H824" s="25"/>
      <c r="I824" s="26"/>
      <c r="J824" s="26"/>
      <c r="K824" s="2"/>
      <c r="L824" s="2"/>
      <c r="M824" s="2"/>
      <c r="N824" s="2"/>
      <c r="O824" s="2"/>
      <c r="P824" s="2"/>
      <c r="Q824" s="2"/>
      <c r="R824" s="2"/>
      <c r="S824" s="2"/>
      <c r="T824" s="2"/>
      <c r="U824" s="2"/>
      <c r="V824" s="2"/>
      <c r="W824" s="2"/>
      <c r="X824" s="2"/>
      <c r="Y824" s="2"/>
    </row>
    <row r="825">
      <c r="A825" s="25"/>
      <c r="B825" s="25"/>
      <c r="C825" s="25"/>
      <c r="D825" s="26"/>
      <c r="E825" s="26"/>
      <c r="F825" s="25"/>
      <c r="G825" s="25"/>
      <c r="H825" s="25"/>
      <c r="I825" s="26"/>
      <c r="J825" s="26"/>
      <c r="K825" s="2"/>
      <c r="L825" s="2"/>
      <c r="M825" s="2"/>
      <c r="N825" s="2"/>
      <c r="O825" s="2"/>
      <c r="P825" s="2"/>
      <c r="Q825" s="2"/>
      <c r="R825" s="2"/>
      <c r="S825" s="2"/>
      <c r="T825" s="2"/>
      <c r="U825" s="2"/>
      <c r="V825" s="2"/>
      <c r="W825" s="2"/>
      <c r="X825" s="2"/>
      <c r="Y825" s="2"/>
    </row>
    <row r="826">
      <c r="A826" s="25"/>
      <c r="B826" s="25"/>
      <c r="C826" s="25"/>
      <c r="D826" s="26"/>
      <c r="E826" s="26"/>
      <c r="F826" s="25"/>
      <c r="G826" s="25"/>
      <c r="H826" s="25"/>
      <c r="I826" s="26"/>
      <c r="J826" s="26"/>
      <c r="K826" s="2"/>
      <c r="L826" s="2"/>
      <c r="M826" s="2"/>
      <c r="N826" s="2"/>
      <c r="O826" s="2"/>
      <c r="P826" s="2"/>
      <c r="Q826" s="2"/>
      <c r="R826" s="2"/>
      <c r="S826" s="2"/>
      <c r="T826" s="2"/>
      <c r="U826" s="2"/>
      <c r="V826" s="2"/>
      <c r="W826" s="2"/>
      <c r="X826" s="2"/>
      <c r="Y826" s="2"/>
    </row>
    <row r="827">
      <c r="A827" s="25"/>
      <c r="B827" s="25"/>
      <c r="C827" s="25"/>
      <c r="D827" s="26"/>
      <c r="E827" s="26"/>
      <c r="F827" s="25"/>
      <c r="G827" s="25"/>
      <c r="H827" s="25"/>
      <c r="I827" s="26"/>
      <c r="J827" s="26"/>
      <c r="K827" s="2"/>
      <c r="L827" s="2"/>
      <c r="M827" s="2"/>
      <c r="N827" s="2"/>
      <c r="O827" s="2"/>
      <c r="P827" s="2"/>
      <c r="Q827" s="2"/>
      <c r="R827" s="2"/>
      <c r="S827" s="2"/>
      <c r="T827" s="2"/>
      <c r="U827" s="2"/>
      <c r="V827" s="2"/>
      <c r="W827" s="2"/>
      <c r="X827" s="2"/>
      <c r="Y827" s="2"/>
    </row>
    <row r="828">
      <c r="A828" s="25"/>
      <c r="B828" s="25"/>
      <c r="C828" s="25"/>
      <c r="D828" s="26"/>
      <c r="E828" s="26"/>
      <c r="F828" s="25"/>
      <c r="G828" s="25"/>
      <c r="H828" s="25"/>
      <c r="I828" s="26"/>
      <c r="J828" s="26"/>
      <c r="K828" s="2"/>
      <c r="L828" s="2"/>
      <c r="M828" s="2"/>
      <c r="N828" s="2"/>
      <c r="O828" s="2"/>
      <c r="P828" s="2"/>
      <c r="Q828" s="2"/>
      <c r="R828" s="2"/>
      <c r="S828" s="2"/>
      <c r="T828" s="2"/>
      <c r="U828" s="2"/>
      <c r="V828" s="2"/>
      <c r="W828" s="2"/>
      <c r="X828" s="2"/>
      <c r="Y828" s="2"/>
    </row>
    <row r="829">
      <c r="A829" s="25"/>
      <c r="B829" s="25"/>
      <c r="C829" s="25"/>
      <c r="D829" s="26"/>
      <c r="E829" s="26"/>
      <c r="F829" s="25"/>
      <c r="G829" s="25"/>
      <c r="H829" s="25"/>
      <c r="I829" s="26"/>
      <c r="J829" s="26"/>
      <c r="K829" s="2"/>
      <c r="L829" s="2"/>
      <c r="M829" s="2"/>
      <c r="N829" s="2"/>
      <c r="O829" s="2"/>
      <c r="P829" s="2"/>
      <c r="Q829" s="2"/>
      <c r="R829" s="2"/>
      <c r="S829" s="2"/>
      <c r="T829" s="2"/>
      <c r="U829" s="2"/>
      <c r="V829" s="2"/>
      <c r="W829" s="2"/>
      <c r="X829" s="2"/>
      <c r="Y829" s="2"/>
    </row>
    <row r="830">
      <c r="A830" s="25"/>
      <c r="B830" s="25"/>
      <c r="C830" s="25"/>
      <c r="D830" s="26"/>
      <c r="E830" s="26"/>
      <c r="F830" s="25"/>
      <c r="G830" s="25"/>
      <c r="H830" s="25"/>
      <c r="I830" s="26"/>
      <c r="J830" s="26"/>
      <c r="K830" s="2"/>
      <c r="L830" s="2"/>
      <c r="M830" s="2"/>
      <c r="N830" s="2"/>
      <c r="O830" s="2"/>
      <c r="P830" s="2"/>
      <c r="Q830" s="2"/>
      <c r="R830" s="2"/>
      <c r="S830" s="2"/>
      <c r="T830" s="2"/>
      <c r="U830" s="2"/>
      <c r="V830" s="2"/>
      <c r="W830" s="2"/>
      <c r="X830" s="2"/>
      <c r="Y830" s="2"/>
    </row>
    <row r="831">
      <c r="A831" s="25"/>
      <c r="B831" s="25"/>
      <c r="C831" s="25"/>
      <c r="D831" s="26"/>
      <c r="E831" s="26"/>
      <c r="F831" s="25"/>
      <c r="G831" s="25"/>
      <c r="H831" s="25"/>
      <c r="I831" s="26"/>
      <c r="J831" s="26"/>
      <c r="K831" s="2"/>
      <c r="L831" s="2"/>
      <c r="M831" s="2"/>
      <c r="N831" s="2"/>
      <c r="O831" s="2"/>
      <c r="P831" s="2"/>
      <c r="Q831" s="2"/>
      <c r="R831" s="2"/>
      <c r="S831" s="2"/>
      <c r="T831" s="2"/>
      <c r="U831" s="2"/>
      <c r="V831" s="2"/>
      <c r="W831" s="2"/>
      <c r="X831" s="2"/>
      <c r="Y831" s="2"/>
    </row>
    <row r="832">
      <c r="A832" s="25"/>
      <c r="B832" s="25"/>
      <c r="C832" s="25"/>
      <c r="D832" s="26"/>
      <c r="E832" s="26"/>
      <c r="F832" s="25"/>
      <c r="G832" s="25"/>
      <c r="H832" s="25"/>
      <c r="I832" s="26"/>
      <c r="J832" s="26"/>
      <c r="K832" s="2"/>
      <c r="L832" s="2"/>
      <c r="M832" s="2"/>
      <c r="N832" s="2"/>
      <c r="O832" s="2"/>
      <c r="P832" s="2"/>
      <c r="Q832" s="2"/>
      <c r="R832" s="2"/>
      <c r="S832" s="2"/>
      <c r="T832" s="2"/>
      <c r="U832" s="2"/>
      <c r="V832" s="2"/>
      <c r="W832" s="2"/>
      <c r="X832" s="2"/>
      <c r="Y832" s="2"/>
    </row>
    <row r="833">
      <c r="A833" s="25"/>
      <c r="B833" s="25"/>
      <c r="C833" s="25"/>
      <c r="D833" s="26"/>
      <c r="E833" s="26"/>
      <c r="F833" s="25"/>
      <c r="G833" s="25"/>
      <c r="H833" s="25"/>
      <c r="I833" s="26"/>
      <c r="J833" s="26"/>
      <c r="K833" s="2"/>
      <c r="L833" s="2"/>
      <c r="M833" s="2"/>
      <c r="N833" s="2"/>
      <c r="O833" s="2"/>
      <c r="P833" s="2"/>
      <c r="Q833" s="2"/>
      <c r="R833" s="2"/>
      <c r="S833" s="2"/>
      <c r="T833" s="2"/>
      <c r="U833" s="2"/>
      <c r="V833" s="2"/>
      <c r="W833" s="2"/>
      <c r="X833" s="2"/>
      <c r="Y833" s="2"/>
    </row>
    <row r="834">
      <c r="A834" s="25"/>
      <c r="B834" s="25"/>
      <c r="C834" s="25"/>
      <c r="D834" s="26"/>
      <c r="E834" s="26"/>
      <c r="F834" s="25"/>
      <c r="G834" s="25"/>
      <c r="H834" s="25"/>
      <c r="I834" s="26"/>
      <c r="J834" s="26"/>
      <c r="K834" s="2"/>
      <c r="L834" s="2"/>
      <c r="M834" s="2"/>
      <c r="N834" s="2"/>
      <c r="O834" s="2"/>
      <c r="P834" s="2"/>
      <c r="Q834" s="2"/>
      <c r="R834" s="2"/>
      <c r="S834" s="2"/>
      <c r="T834" s="2"/>
      <c r="U834" s="2"/>
      <c r="V834" s="2"/>
      <c r="W834" s="2"/>
      <c r="X834" s="2"/>
      <c r="Y834" s="2"/>
    </row>
    <row r="835">
      <c r="A835" s="25"/>
      <c r="B835" s="25"/>
      <c r="C835" s="25"/>
      <c r="D835" s="26"/>
      <c r="E835" s="26"/>
      <c r="F835" s="25"/>
      <c r="G835" s="25"/>
      <c r="H835" s="25"/>
      <c r="I835" s="26"/>
      <c r="J835" s="26"/>
      <c r="K835" s="2"/>
      <c r="L835" s="2"/>
      <c r="M835" s="2"/>
      <c r="N835" s="2"/>
      <c r="O835" s="2"/>
      <c r="P835" s="2"/>
      <c r="Q835" s="2"/>
      <c r="R835" s="2"/>
      <c r="S835" s="2"/>
      <c r="T835" s="2"/>
      <c r="U835" s="2"/>
      <c r="V835" s="2"/>
      <c r="W835" s="2"/>
      <c r="X835" s="2"/>
      <c r="Y835" s="2"/>
    </row>
    <row r="836">
      <c r="A836" s="25"/>
      <c r="B836" s="25"/>
      <c r="C836" s="25"/>
      <c r="D836" s="26"/>
      <c r="E836" s="26"/>
      <c r="F836" s="25"/>
      <c r="G836" s="25"/>
      <c r="H836" s="25"/>
      <c r="I836" s="26"/>
      <c r="J836" s="26"/>
      <c r="K836" s="2"/>
      <c r="L836" s="2"/>
      <c r="M836" s="2"/>
      <c r="N836" s="2"/>
      <c r="O836" s="2"/>
      <c r="P836" s="2"/>
      <c r="Q836" s="2"/>
      <c r="R836" s="2"/>
      <c r="S836" s="2"/>
      <c r="T836" s="2"/>
      <c r="U836" s="2"/>
      <c r="V836" s="2"/>
      <c r="W836" s="2"/>
      <c r="X836" s="2"/>
      <c r="Y836" s="2"/>
    </row>
    <row r="837">
      <c r="A837" s="25"/>
      <c r="B837" s="25"/>
      <c r="C837" s="25"/>
      <c r="D837" s="26"/>
      <c r="E837" s="26"/>
      <c r="F837" s="25"/>
      <c r="G837" s="25"/>
      <c r="H837" s="25"/>
      <c r="I837" s="26"/>
      <c r="J837" s="26"/>
      <c r="K837" s="2"/>
      <c r="L837" s="2"/>
      <c r="M837" s="2"/>
      <c r="N837" s="2"/>
      <c r="O837" s="2"/>
      <c r="P837" s="2"/>
      <c r="Q837" s="2"/>
      <c r="R837" s="2"/>
      <c r="S837" s="2"/>
      <c r="T837" s="2"/>
      <c r="U837" s="2"/>
      <c r="V837" s="2"/>
      <c r="W837" s="2"/>
      <c r="X837" s="2"/>
      <c r="Y837" s="2"/>
    </row>
    <row r="838">
      <c r="A838" s="25"/>
      <c r="B838" s="25"/>
      <c r="C838" s="25"/>
      <c r="D838" s="26"/>
      <c r="E838" s="26"/>
      <c r="F838" s="25"/>
      <c r="G838" s="25"/>
      <c r="H838" s="25"/>
      <c r="I838" s="26"/>
      <c r="J838" s="26"/>
      <c r="K838" s="2"/>
      <c r="L838" s="2"/>
      <c r="M838" s="2"/>
      <c r="N838" s="2"/>
      <c r="O838" s="2"/>
      <c r="P838" s="2"/>
      <c r="Q838" s="2"/>
      <c r="R838" s="2"/>
      <c r="S838" s="2"/>
      <c r="T838" s="2"/>
      <c r="U838" s="2"/>
      <c r="V838" s="2"/>
      <c r="W838" s="2"/>
      <c r="X838" s="2"/>
      <c r="Y838" s="2"/>
    </row>
    <row r="839">
      <c r="A839" s="25"/>
      <c r="B839" s="25"/>
      <c r="C839" s="25"/>
      <c r="D839" s="26"/>
      <c r="E839" s="26"/>
      <c r="F839" s="25"/>
      <c r="G839" s="25"/>
      <c r="H839" s="25"/>
      <c r="I839" s="26"/>
      <c r="J839" s="26"/>
      <c r="K839" s="2"/>
      <c r="L839" s="2"/>
      <c r="M839" s="2"/>
      <c r="N839" s="2"/>
      <c r="O839" s="2"/>
      <c r="P839" s="2"/>
      <c r="Q839" s="2"/>
      <c r="R839" s="2"/>
      <c r="S839" s="2"/>
      <c r="T839" s="2"/>
      <c r="U839" s="2"/>
      <c r="V839" s="2"/>
      <c r="W839" s="2"/>
      <c r="X839" s="2"/>
      <c r="Y839" s="2"/>
    </row>
    <row r="840">
      <c r="A840" s="25"/>
      <c r="B840" s="25"/>
      <c r="C840" s="25"/>
      <c r="D840" s="26"/>
      <c r="E840" s="26"/>
      <c r="F840" s="25"/>
      <c r="G840" s="25"/>
      <c r="H840" s="25"/>
      <c r="I840" s="26"/>
      <c r="J840" s="26"/>
      <c r="K840" s="2"/>
      <c r="L840" s="2"/>
      <c r="M840" s="2"/>
      <c r="N840" s="2"/>
      <c r="O840" s="2"/>
      <c r="P840" s="2"/>
      <c r="Q840" s="2"/>
      <c r="R840" s="2"/>
      <c r="S840" s="2"/>
      <c r="T840" s="2"/>
      <c r="U840" s="2"/>
      <c r="V840" s="2"/>
      <c r="W840" s="2"/>
      <c r="X840" s="2"/>
      <c r="Y840" s="2"/>
    </row>
    <row r="841">
      <c r="A841" s="25"/>
      <c r="B841" s="25"/>
      <c r="C841" s="25"/>
      <c r="D841" s="26"/>
      <c r="E841" s="26"/>
      <c r="F841" s="25"/>
      <c r="G841" s="25"/>
      <c r="H841" s="25"/>
      <c r="I841" s="26"/>
      <c r="J841" s="26"/>
      <c r="K841" s="2"/>
      <c r="L841" s="2"/>
      <c r="M841" s="2"/>
      <c r="N841" s="2"/>
      <c r="O841" s="2"/>
      <c r="P841" s="2"/>
      <c r="Q841" s="2"/>
      <c r="R841" s="2"/>
      <c r="S841" s="2"/>
      <c r="T841" s="2"/>
      <c r="U841" s="2"/>
      <c r="V841" s="2"/>
      <c r="W841" s="2"/>
      <c r="X841" s="2"/>
      <c r="Y841" s="2"/>
    </row>
    <row r="842">
      <c r="A842" s="25"/>
      <c r="B842" s="25"/>
      <c r="C842" s="25"/>
      <c r="D842" s="26"/>
      <c r="E842" s="26"/>
      <c r="F842" s="25"/>
      <c r="G842" s="25"/>
      <c r="H842" s="25"/>
      <c r="I842" s="26"/>
      <c r="J842" s="26"/>
      <c r="K842" s="2"/>
      <c r="L842" s="2"/>
      <c r="M842" s="2"/>
      <c r="N842" s="2"/>
      <c r="O842" s="2"/>
      <c r="P842" s="2"/>
      <c r="Q842" s="2"/>
      <c r="R842" s="2"/>
      <c r="S842" s="2"/>
      <c r="T842" s="2"/>
      <c r="U842" s="2"/>
      <c r="V842" s="2"/>
      <c r="W842" s="2"/>
      <c r="X842" s="2"/>
      <c r="Y842" s="2"/>
    </row>
    <row r="843">
      <c r="A843" s="25"/>
      <c r="B843" s="25"/>
      <c r="C843" s="25"/>
      <c r="D843" s="26"/>
      <c r="E843" s="26"/>
      <c r="F843" s="25"/>
      <c r="G843" s="25"/>
      <c r="H843" s="25"/>
      <c r="I843" s="26"/>
      <c r="J843" s="26"/>
      <c r="K843" s="2"/>
      <c r="L843" s="2"/>
      <c r="M843" s="2"/>
      <c r="N843" s="2"/>
      <c r="O843" s="2"/>
      <c r="P843" s="2"/>
      <c r="Q843" s="2"/>
      <c r="R843" s="2"/>
      <c r="S843" s="2"/>
      <c r="T843" s="2"/>
      <c r="U843" s="2"/>
      <c r="V843" s="2"/>
      <c r="W843" s="2"/>
      <c r="X843" s="2"/>
      <c r="Y843" s="2"/>
    </row>
    <row r="844">
      <c r="A844" s="25"/>
      <c r="B844" s="25"/>
      <c r="C844" s="25"/>
      <c r="D844" s="26"/>
      <c r="E844" s="26"/>
      <c r="F844" s="25"/>
      <c r="G844" s="25"/>
      <c r="H844" s="25"/>
      <c r="I844" s="26"/>
      <c r="J844" s="26"/>
      <c r="K844" s="2"/>
      <c r="L844" s="2"/>
      <c r="M844" s="2"/>
      <c r="N844" s="2"/>
      <c r="O844" s="2"/>
      <c r="P844" s="2"/>
      <c r="Q844" s="2"/>
      <c r="R844" s="2"/>
      <c r="S844" s="2"/>
      <c r="T844" s="2"/>
      <c r="U844" s="2"/>
      <c r="V844" s="2"/>
      <c r="W844" s="2"/>
      <c r="X844" s="2"/>
      <c r="Y844" s="2"/>
    </row>
    <row r="845">
      <c r="A845" s="25"/>
      <c r="B845" s="25"/>
      <c r="C845" s="25"/>
      <c r="D845" s="26"/>
      <c r="E845" s="26"/>
      <c r="F845" s="25"/>
      <c r="G845" s="25"/>
      <c r="H845" s="25"/>
      <c r="I845" s="26"/>
      <c r="J845" s="26"/>
      <c r="K845" s="2"/>
      <c r="L845" s="2"/>
      <c r="M845" s="2"/>
      <c r="N845" s="2"/>
      <c r="O845" s="2"/>
      <c r="P845" s="2"/>
      <c r="Q845" s="2"/>
      <c r="R845" s="2"/>
      <c r="S845" s="2"/>
      <c r="T845" s="2"/>
      <c r="U845" s="2"/>
      <c r="V845" s="2"/>
      <c r="W845" s="2"/>
      <c r="X845" s="2"/>
      <c r="Y845" s="2"/>
    </row>
    <row r="846">
      <c r="A846" s="25"/>
      <c r="B846" s="25"/>
      <c r="C846" s="25"/>
      <c r="D846" s="26"/>
      <c r="E846" s="26"/>
      <c r="F846" s="25"/>
      <c r="G846" s="25"/>
      <c r="H846" s="25"/>
      <c r="I846" s="26"/>
      <c r="J846" s="26"/>
      <c r="K846" s="2"/>
      <c r="L846" s="2"/>
      <c r="M846" s="2"/>
      <c r="N846" s="2"/>
      <c r="O846" s="2"/>
      <c r="P846" s="2"/>
      <c r="Q846" s="2"/>
      <c r="R846" s="2"/>
      <c r="S846" s="2"/>
      <c r="T846" s="2"/>
      <c r="U846" s="2"/>
      <c r="V846" s="2"/>
      <c r="W846" s="2"/>
      <c r="X846" s="2"/>
      <c r="Y846" s="2"/>
    </row>
    <row r="847">
      <c r="A847" s="25"/>
      <c r="B847" s="25"/>
      <c r="C847" s="25"/>
      <c r="D847" s="26"/>
      <c r="E847" s="26"/>
      <c r="F847" s="25"/>
      <c r="G847" s="25"/>
      <c r="H847" s="25"/>
      <c r="I847" s="26"/>
      <c r="J847" s="26"/>
      <c r="K847" s="2"/>
      <c r="L847" s="2"/>
      <c r="M847" s="2"/>
      <c r="N847" s="2"/>
      <c r="O847" s="2"/>
      <c r="P847" s="2"/>
      <c r="Q847" s="2"/>
      <c r="R847" s="2"/>
      <c r="S847" s="2"/>
      <c r="T847" s="2"/>
      <c r="U847" s="2"/>
      <c r="V847" s="2"/>
      <c r="W847" s="2"/>
      <c r="X847" s="2"/>
      <c r="Y847" s="2"/>
    </row>
    <row r="848">
      <c r="A848" s="25"/>
      <c r="B848" s="25"/>
      <c r="C848" s="25"/>
      <c r="D848" s="26"/>
      <c r="E848" s="26"/>
      <c r="F848" s="25"/>
      <c r="G848" s="25"/>
      <c r="H848" s="25"/>
      <c r="I848" s="26"/>
      <c r="J848" s="26"/>
      <c r="K848" s="2"/>
      <c r="L848" s="2"/>
      <c r="M848" s="2"/>
      <c r="N848" s="2"/>
      <c r="O848" s="2"/>
      <c r="P848" s="2"/>
      <c r="Q848" s="2"/>
      <c r="R848" s="2"/>
      <c r="S848" s="2"/>
      <c r="T848" s="2"/>
      <c r="U848" s="2"/>
      <c r="V848" s="2"/>
      <c r="W848" s="2"/>
      <c r="X848" s="2"/>
      <c r="Y848" s="2"/>
    </row>
    <row r="849">
      <c r="A849" s="25"/>
      <c r="B849" s="25"/>
      <c r="C849" s="25"/>
      <c r="D849" s="26"/>
      <c r="E849" s="26"/>
      <c r="F849" s="25"/>
      <c r="G849" s="25"/>
      <c r="H849" s="25"/>
      <c r="I849" s="26"/>
      <c r="J849" s="26"/>
      <c r="K849" s="2"/>
      <c r="L849" s="2"/>
      <c r="M849" s="2"/>
      <c r="N849" s="2"/>
      <c r="O849" s="2"/>
      <c r="P849" s="2"/>
      <c r="Q849" s="2"/>
      <c r="R849" s="2"/>
      <c r="S849" s="2"/>
      <c r="T849" s="2"/>
      <c r="U849" s="2"/>
      <c r="V849" s="2"/>
      <c r="W849" s="2"/>
      <c r="X849" s="2"/>
      <c r="Y849" s="2"/>
    </row>
    <row r="850">
      <c r="A850" s="25"/>
      <c r="B850" s="25"/>
      <c r="C850" s="25"/>
      <c r="D850" s="26"/>
      <c r="E850" s="26"/>
      <c r="F850" s="25"/>
      <c r="G850" s="25"/>
      <c r="H850" s="25"/>
      <c r="I850" s="26"/>
      <c r="J850" s="26"/>
      <c r="K850" s="2"/>
      <c r="L850" s="2"/>
      <c r="M850" s="2"/>
      <c r="N850" s="2"/>
      <c r="O850" s="2"/>
      <c r="P850" s="2"/>
      <c r="Q850" s="2"/>
      <c r="R850" s="2"/>
      <c r="S850" s="2"/>
      <c r="T850" s="2"/>
      <c r="U850" s="2"/>
      <c r="V850" s="2"/>
      <c r="W850" s="2"/>
      <c r="X850" s="2"/>
      <c r="Y850" s="2"/>
    </row>
    <row r="851">
      <c r="A851" s="25"/>
      <c r="B851" s="25"/>
      <c r="C851" s="25"/>
      <c r="D851" s="26"/>
      <c r="E851" s="26"/>
      <c r="F851" s="25"/>
      <c r="G851" s="25"/>
      <c r="H851" s="25"/>
      <c r="I851" s="26"/>
      <c r="J851" s="26"/>
      <c r="K851" s="2"/>
      <c r="L851" s="2"/>
      <c r="M851" s="2"/>
      <c r="N851" s="2"/>
      <c r="O851" s="2"/>
      <c r="P851" s="2"/>
      <c r="Q851" s="2"/>
      <c r="R851" s="2"/>
      <c r="S851" s="2"/>
      <c r="T851" s="2"/>
      <c r="U851" s="2"/>
      <c r="V851" s="2"/>
      <c r="W851" s="2"/>
      <c r="X851" s="2"/>
      <c r="Y851" s="2"/>
    </row>
    <row r="852">
      <c r="A852" s="25"/>
      <c r="B852" s="25"/>
      <c r="C852" s="25"/>
      <c r="D852" s="26"/>
      <c r="E852" s="26"/>
      <c r="F852" s="25"/>
      <c r="G852" s="25"/>
      <c r="H852" s="25"/>
      <c r="I852" s="26"/>
      <c r="J852" s="26"/>
      <c r="K852" s="2"/>
      <c r="L852" s="2"/>
      <c r="M852" s="2"/>
      <c r="N852" s="2"/>
      <c r="O852" s="2"/>
      <c r="P852" s="2"/>
      <c r="Q852" s="2"/>
      <c r="R852" s="2"/>
      <c r="S852" s="2"/>
      <c r="T852" s="2"/>
      <c r="U852" s="2"/>
      <c r="V852" s="2"/>
      <c r="W852" s="2"/>
      <c r="X852" s="2"/>
      <c r="Y852" s="2"/>
    </row>
    <row r="853">
      <c r="A853" s="25"/>
      <c r="B853" s="25"/>
      <c r="C853" s="25"/>
      <c r="D853" s="26"/>
      <c r="E853" s="26"/>
      <c r="F853" s="25"/>
      <c r="G853" s="25"/>
      <c r="H853" s="25"/>
      <c r="I853" s="26"/>
      <c r="J853" s="26"/>
      <c r="K853" s="2"/>
      <c r="L853" s="2"/>
      <c r="M853" s="2"/>
      <c r="N853" s="2"/>
      <c r="O853" s="2"/>
      <c r="P853" s="2"/>
      <c r="Q853" s="2"/>
      <c r="R853" s="2"/>
      <c r="S853" s="2"/>
      <c r="T853" s="2"/>
      <c r="U853" s="2"/>
      <c r="V853" s="2"/>
      <c r="W853" s="2"/>
      <c r="X853" s="2"/>
      <c r="Y853" s="2"/>
    </row>
    <row r="854">
      <c r="A854" s="25"/>
      <c r="B854" s="25"/>
      <c r="C854" s="25"/>
      <c r="D854" s="26"/>
      <c r="E854" s="26"/>
      <c r="F854" s="25"/>
      <c r="G854" s="25"/>
      <c r="H854" s="25"/>
      <c r="I854" s="26"/>
      <c r="J854" s="26"/>
      <c r="K854" s="2"/>
      <c r="L854" s="2"/>
      <c r="M854" s="2"/>
      <c r="N854" s="2"/>
      <c r="O854" s="2"/>
      <c r="P854" s="2"/>
      <c r="Q854" s="2"/>
      <c r="R854" s="2"/>
      <c r="S854" s="2"/>
      <c r="T854" s="2"/>
      <c r="U854" s="2"/>
      <c r="V854" s="2"/>
      <c r="W854" s="2"/>
      <c r="X854" s="2"/>
      <c r="Y854" s="2"/>
    </row>
    <row r="855">
      <c r="A855" s="25"/>
      <c r="B855" s="25"/>
      <c r="C855" s="25"/>
      <c r="D855" s="26"/>
      <c r="E855" s="26"/>
      <c r="F855" s="25"/>
      <c r="G855" s="25"/>
      <c r="H855" s="25"/>
      <c r="I855" s="26"/>
      <c r="J855" s="26"/>
      <c r="K855" s="2"/>
      <c r="L855" s="2"/>
      <c r="M855" s="2"/>
      <c r="N855" s="2"/>
      <c r="O855" s="2"/>
      <c r="P855" s="2"/>
      <c r="Q855" s="2"/>
      <c r="R855" s="2"/>
      <c r="S855" s="2"/>
      <c r="T855" s="2"/>
      <c r="U855" s="2"/>
      <c r="V855" s="2"/>
      <c r="W855" s="2"/>
      <c r="X855" s="2"/>
      <c r="Y855" s="2"/>
    </row>
    <row r="856">
      <c r="A856" s="25"/>
      <c r="B856" s="25"/>
      <c r="C856" s="25"/>
      <c r="D856" s="26"/>
      <c r="E856" s="26"/>
      <c r="F856" s="25"/>
      <c r="G856" s="25"/>
      <c r="H856" s="25"/>
      <c r="I856" s="26"/>
      <c r="J856" s="26"/>
      <c r="K856" s="2"/>
      <c r="L856" s="2"/>
      <c r="M856" s="2"/>
      <c r="N856" s="2"/>
      <c r="O856" s="2"/>
      <c r="P856" s="2"/>
      <c r="Q856" s="2"/>
      <c r="R856" s="2"/>
      <c r="S856" s="2"/>
      <c r="T856" s="2"/>
      <c r="U856" s="2"/>
      <c r="V856" s="2"/>
      <c r="W856" s="2"/>
      <c r="X856" s="2"/>
      <c r="Y856" s="2"/>
    </row>
    <row r="857">
      <c r="A857" s="25"/>
      <c r="B857" s="25"/>
      <c r="C857" s="25"/>
      <c r="D857" s="26"/>
      <c r="E857" s="26"/>
      <c r="F857" s="25"/>
      <c r="G857" s="25"/>
      <c r="H857" s="25"/>
      <c r="I857" s="26"/>
      <c r="J857" s="26"/>
      <c r="K857" s="2"/>
      <c r="L857" s="2"/>
      <c r="M857" s="2"/>
      <c r="N857" s="2"/>
      <c r="O857" s="2"/>
      <c r="P857" s="2"/>
      <c r="Q857" s="2"/>
      <c r="R857" s="2"/>
      <c r="S857" s="2"/>
      <c r="T857" s="2"/>
      <c r="U857" s="2"/>
      <c r="V857" s="2"/>
      <c r="W857" s="2"/>
      <c r="X857" s="2"/>
      <c r="Y857" s="2"/>
    </row>
    <row r="858">
      <c r="A858" s="25"/>
      <c r="B858" s="25"/>
      <c r="C858" s="25"/>
      <c r="D858" s="26"/>
      <c r="E858" s="26"/>
      <c r="F858" s="25"/>
      <c r="G858" s="25"/>
      <c r="H858" s="25"/>
      <c r="I858" s="26"/>
      <c r="J858" s="26"/>
      <c r="K858" s="2"/>
      <c r="L858" s="2"/>
      <c r="M858" s="2"/>
      <c r="N858" s="2"/>
      <c r="O858" s="2"/>
      <c r="P858" s="2"/>
      <c r="Q858" s="2"/>
      <c r="R858" s="2"/>
      <c r="S858" s="2"/>
      <c r="T858" s="2"/>
      <c r="U858" s="2"/>
      <c r="V858" s="2"/>
      <c r="W858" s="2"/>
      <c r="X858" s="2"/>
      <c r="Y858" s="2"/>
    </row>
    <row r="859">
      <c r="A859" s="25"/>
      <c r="B859" s="25"/>
      <c r="C859" s="25"/>
      <c r="D859" s="26"/>
      <c r="E859" s="26"/>
      <c r="F859" s="25"/>
      <c r="G859" s="25"/>
      <c r="H859" s="25"/>
      <c r="I859" s="26"/>
      <c r="J859" s="26"/>
      <c r="K859" s="2"/>
      <c r="L859" s="2"/>
      <c r="M859" s="2"/>
      <c r="N859" s="2"/>
      <c r="O859" s="2"/>
      <c r="P859" s="2"/>
      <c r="Q859" s="2"/>
      <c r="R859" s="2"/>
      <c r="S859" s="2"/>
      <c r="T859" s="2"/>
      <c r="U859" s="2"/>
      <c r="V859" s="2"/>
      <c r="W859" s="2"/>
      <c r="X859" s="2"/>
      <c r="Y859" s="2"/>
    </row>
    <row r="860">
      <c r="A860" s="25"/>
      <c r="B860" s="25"/>
      <c r="C860" s="25"/>
      <c r="D860" s="26"/>
      <c r="E860" s="26"/>
      <c r="F860" s="25"/>
      <c r="G860" s="25"/>
      <c r="H860" s="25"/>
      <c r="I860" s="26"/>
      <c r="J860" s="26"/>
      <c r="K860" s="2"/>
      <c r="L860" s="2"/>
      <c r="M860" s="2"/>
      <c r="N860" s="2"/>
      <c r="O860" s="2"/>
      <c r="P860" s="2"/>
      <c r="Q860" s="2"/>
      <c r="R860" s="2"/>
      <c r="S860" s="2"/>
      <c r="T860" s="2"/>
      <c r="U860" s="2"/>
      <c r="V860" s="2"/>
      <c r="W860" s="2"/>
      <c r="X860" s="2"/>
      <c r="Y860" s="2"/>
    </row>
    <row r="861">
      <c r="A861" s="25"/>
      <c r="B861" s="25"/>
      <c r="C861" s="25"/>
      <c r="D861" s="26"/>
      <c r="E861" s="26"/>
      <c r="F861" s="25"/>
      <c r="G861" s="25"/>
      <c r="H861" s="25"/>
      <c r="I861" s="26"/>
      <c r="J861" s="26"/>
      <c r="K861" s="2"/>
      <c r="L861" s="2"/>
      <c r="M861" s="2"/>
      <c r="N861" s="2"/>
      <c r="O861" s="2"/>
      <c r="P861" s="2"/>
      <c r="Q861" s="2"/>
      <c r="R861" s="2"/>
      <c r="S861" s="2"/>
      <c r="T861" s="2"/>
      <c r="U861" s="2"/>
      <c r="V861" s="2"/>
      <c r="W861" s="2"/>
      <c r="X861" s="2"/>
      <c r="Y861" s="2"/>
    </row>
    <row r="862">
      <c r="A862" s="25"/>
      <c r="B862" s="25"/>
      <c r="C862" s="25"/>
      <c r="D862" s="26"/>
      <c r="E862" s="26"/>
      <c r="F862" s="25"/>
      <c r="G862" s="25"/>
      <c r="H862" s="25"/>
      <c r="I862" s="26"/>
      <c r="J862" s="26"/>
      <c r="K862" s="2"/>
      <c r="L862" s="2"/>
      <c r="M862" s="2"/>
      <c r="N862" s="2"/>
      <c r="O862" s="2"/>
      <c r="P862" s="2"/>
      <c r="Q862" s="2"/>
      <c r="R862" s="2"/>
      <c r="S862" s="2"/>
      <c r="T862" s="2"/>
      <c r="U862" s="2"/>
      <c r="V862" s="2"/>
      <c r="W862" s="2"/>
      <c r="X862" s="2"/>
      <c r="Y862" s="2"/>
    </row>
    <row r="863">
      <c r="A863" s="25"/>
      <c r="B863" s="25"/>
      <c r="C863" s="25"/>
      <c r="D863" s="26"/>
      <c r="E863" s="26"/>
      <c r="F863" s="25"/>
      <c r="G863" s="25"/>
      <c r="H863" s="25"/>
      <c r="I863" s="26"/>
      <c r="J863" s="26"/>
      <c r="K863" s="2"/>
      <c r="L863" s="2"/>
      <c r="M863" s="2"/>
      <c r="N863" s="2"/>
      <c r="O863" s="2"/>
      <c r="P863" s="2"/>
      <c r="Q863" s="2"/>
      <c r="R863" s="2"/>
      <c r="S863" s="2"/>
      <c r="T863" s="2"/>
      <c r="U863" s="2"/>
      <c r="V863" s="2"/>
      <c r="W863" s="2"/>
      <c r="X863" s="2"/>
      <c r="Y863" s="2"/>
    </row>
    <row r="864">
      <c r="A864" s="25"/>
      <c r="B864" s="25"/>
      <c r="C864" s="25"/>
      <c r="D864" s="26"/>
      <c r="E864" s="26"/>
      <c r="F864" s="25"/>
      <c r="G864" s="25"/>
      <c r="H864" s="25"/>
      <c r="I864" s="26"/>
      <c r="J864" s="26"/>
      <c r="K864" s="2"/>
      <c r="L864" s="2"/>
      <c r="M864" s="2"/>
      <c r="N864" s="2"/>
      <c r="O864" s="2"/>
      <c r="P864" s="2"/>
      <c r="Q864" s="2"/>
      <c r="R864" s="2"/>
      <c r="S864" s="2"/>
      <c r="T864" s="2"/>
      <c r="U864" s="2"/>
      <c r="V864" s="2"/>
      <c r="W864" s="2"/>
      <c r="X864" s="2"/>
      <c r="Y864" s="2"/>
    </row>
    <row r="865">
      <c r="A865" s="25"/>
      <c r="B865" s="25"/>
      <c r="C865" s="25"/>
      <c r="D865" s="26"/>
      <c r="E865" s="26"/>
      <c r="F865" s="25"/>
      <c r="G865" s="25"/>
      <c r="H865" s="25"/>
      <c r="I865" s="26"/>
      <c r="J865" s="26"/>
      <c r="K865" s="2"/>
      <c r="L865" s="2"/>
      <c r="M865" s="2"/>
      <c r="N865" s="2"/>
      <c r="O865" s="2"/>
      <c r="P865" s="2"/>
      <c r="Q865" s="2"/>
      <c r="R865" s="2"/>
      <c r="S865" s="2"/>
      <c r="T865" s="2"/>
      <c r="U865" s="2"/>
      <c r="V865" s="2"/>
      <c r="W865" s="2"/>
      <c r="X865" s="2"/>
      <c r="Y865" s="2"/>
    </row>
    <row r="866">
      <c r="A866" s="25"/>
      <c r="B866" s="25"/>
      <c r="C866" s="25"/>
      <c r="D866" s="26"/>
      <c r="E866" s="26"/>
      <c r="F866" s="25"/>
      <c r="G866" s="25"/>
      <c r="H866" s="25"/>
      <c r="I866" s="26"/>
      <c r="J866" s="26"/>
      <c r="K866" s="2"/>
      <c r="L866" s="2"/>
      <c r="M866" s="2"/>
      <c r="N866" s="2"/>
      <c r="O866" s="2"/>
      <c r="P866" s="2"/>
      <c r="Q866" s="2"/>
      <c r="R866" s="2"/>
      <c r="S866" s="2"/>
      <c r="T866" s="2"/>
      <c r="U866" s="2"/>
      <c r="V866" s="2"/>
      <c r="W866" s="2"/>
      <c r="X866" s="2"/>
      <c r="Y866" s="2"/>
    </row>
    <row r="867">
      <c r="A867" s="25"/>
      <c r="B867" s="25"/>
      <c r="C867" s="25"/>
      <c r="D867" s="26"/>
      <c r="E867" s="26"/>
      <c r="F867" s="25"/>
      <c r="G867" s="25"/>
      <c r="H867" s="25"/>
      <c r="I867" s="26"/>
      <c r="J867" s="26"/>
      <c r="K867" s="2"/>
      <c r="L867" s="2"/>
      <c r="M867" s="2"/>
      <c r="N867" s="2"/>
      <c r="O867" s="2"/>
      <c r="P867" s="2"/>
      <c r="Q867" s="2"/>
      <c r="R867" s="2"/>
      <c r="S867" s="2"/>
      <c r="T867" s="2"/>
      <c r="U867" s="2"/>
      <c r="V867" s="2"/>
      <c r="W867" s="2"/>
      <c r="X867" s="2"/>
      <c r="Y867" s="2"/>
    </row>
    <row r="868">
      <c r="A868" s="25"/>
      <c r="B868" s="25"/>
      <c r="C868" s="25"/>
      <c r="D868" s="26"/>
      <c r="E868" s="26"/>
      <c r="F868" s="25"/>
      <c r="G868" s="25"/>
      <c r="H868" s="25"/>
      <c r="I868" s="26"/>
      <c r="J868" s="26"/>
      <c r="K868" s="2"/>
      <c r="L868" s="2"/>
      <c r="M868" s="2"/>
      <c r="N868" s="2"/>
      <c r="O868" s="2"/>
      <c r="P868" s="2"/>
      <c r="Q868" s="2"/>
      <c r="R868" s="2"/>
      <c r="S868" s="2"/>
      <c r="T868" s="2"/>
      <c r="U868" s="2"/>
      <c r="V868" s="2"/>
      <c r="W868" s="2"/>
      <c r="X868" s="2"/>
      <c r="Y868" s="2"/>
    </row>
    <row r="869">
      <c r="A869" s="25"/>
      <c r="B869" s="25"/>
      <c r="C869" s="25"/>
      <c r="D869" s="26"/>
      <c r="E869" s="26"/>
      <c r="F869" s="25"/>
      <c r="G869" s="25"/>
      <c r="H869" s="25"/>
      <c r="I869" s="26"/>
      <c r="J869" s="26"/>
      <c r="K869" s="2"/>
      <c r="L869" s="2"/>
      <c r="M869" s="2"/>
      <c r="N869" s="2"/>
      <c r="O869" s="2"/>
      <c r="P869" s="2"/>
      <c r="Q869" s="2"/>
      <c r="R869" s="2"/>
      <c r="S869" s="2"/>
      <c r="T869" s="2"/>
      <c r="U869" s="2"/>
      <c r="V869" s="2"/>
      <c r="W869" s="2"/>
      <c r="X869" s="2"/>
      <c r="Y869" s="2"/>
    </row>
    <row r="870">
      <c r="A870" s="25"/>
      <c r="B870" s="25"/>
      <c r="C870" s="25"/>
      <c r="D870" s="26"/>
      <c r="E870" s="26"/>
      <c r="F870" s="25"/>
      <c r="G870" s="25"/>
      <c r="H870" s="25"/>
      <c r="I870" s="26"/>
      <c r="J870" s="26"/>
      <c r="K870" s="2"/>
      <c r="L870" s="2"/>
      <c r="M870" s="2"/>
      <c r="N870" s="2"/>
      <c r="O870" s="2"/>
      <c r="P870" s="2"/>
      <c r="Q870" s="2"/>
      <c r="R870" s="2"/>
      <c r="S870" s="2"/>
      <c r="T870" s="2"/>
      <c r="U870" s="2"/>
      <c r="V870" s="2"/>
      <c r="W870" s="2"/>
      <c r="X870" s="2"/>
      <c r="Y870" s="2"/>
    </row>
    <row r="871">
      <c r="A871" s="25"/>
      <c r="B871" s="25"/>
      <c r="C871" s="25"/>
      <c r="D871" s="26"/>
      <c r="E871" s="26"/>
      <c r="F871" s="25"/>
      <c r="G871" s="25"/>
      <c r="H871" s="25"/>
      <c r="I871" s="26"/>
      <c r="J871" s="26"/>
      <c r="K871" s="2"/>
      <c r="L871" s="2"/>
      <c r="M871" s="2"/>
      <c r="N871" s="2"/>
      <c r="O871" s="2"/>
      <c r="P871" s="2"/>
      <c r="Q871" s="2"/>
      <c r="R871" s="2"/>
      <c r="S871" s="2"/>
      <c r="T871" s="2"/>
      <c r="U871" s="2"/>
      <c r="V871" s="2"/>
      <c r="W871" s="2"/>
      <c r="X871" s="2"/>
      <c r="Y871" s="2"/>
    </row>
    <row r="872">
      <c r="A872" s="25"/>
      <c r="B872" s="25"/>
      <c r="C872" s="25"/>
      <c r="D872" s="26"/>
      <c r="E872" s="26"/>
      <c r="F872" s="25"/>
      <c r="G872" s="25"/>
      <c r="H872" s="25"/>
      <c r="I872" s="26"/>
      <c r="J872" s="26"/>
      <c r="K872" s="2"/>
      <c r="L872" s="2"/>
      <c r="M872" s="2"/>
      <c r="N872" s="2"/>
      <c r="O872" s="2"/>
      <c r="P872" s="2"/>
      <c r="Q872" s="2"/>
      <c r="R872" s="2"/>
      <c r="S872" s="2"/>
      <c r="T872" s="2"/>
      <c r="U872" s="2"/>
      <c r="V872" s="2"/>
      <c r="W872" s="2"/>
      <c r="X872" s="2"/>
      <c r="Y872" s="2"/>
    </row>
    <row r="873">
      <c r="A873" s="25"/>
      <c r="B873" s="25"/>
      <c r="C873" s="25"/>
      <c r="D873" s="26"/>
      <c r="E873" s="26"/>
      <c r="F873" s="25"/>
      <c r="G873" s="25"/>
      <c r="H873" s="25"/>
      <c r="I873" s="26"/>
      <c r="J873" s="26"/>
      <c r="K873" s="2"/>
      <c r="L873" s="2"/>
      <c r="M873" s="2"/>
      <c r="N873" s="2"/>
      <c r="O873" s="2"/>
      <c r="P873" s="2"/>
      <c r="Q873" s="2"/>
      <c r="R873" s="2"/>
      <c r="S873" s="2"/>
      <c r="T873" s="2"/>
      <c r="U873" s="2"/>
      <c r="V873" s="2"/>
      <c r="W873" s="2"/>
      <c r="X873" s="2"/>
      <c r="Y873" s="2"/>
    </row>
    <row r="874">
      <c r="A874" s="25"/>
      <c r="B874" s="25"/>
      <c r="C874" s="25"/>
      <c r="D874" s="26"/>
      <c r="E874" s="26"/>
      <c r="F874" s="25"/>
      <c r="G874" s="25"/>
      <c r="H874" s="25"/>
      <c r="I874" s="26"/>
      <c r="J874" s="26"/>
      <c r="K874" s="2"/>
      <c r="L874" s="2"/>
      <c r="M874" s="2"/>
      <c r="N874" s="2"/>
      <c r="O874" s="2"/>
      <c r="P874" s="2"/>
      <c r="Q874" s="2"/>
      <c r="R874" s="2"/>
      <c r="S874" s="2"/>
      <c r="T874" s="2"/>
      <c r="U874" s="2"/>
      <c r="V874" s="2"/>
      <c r="W874" s="2"/>
      <c r="X874" s="2"/>
      <c r="Y874" s="2"/>
    </row>
    <row r="875">
      <c r="A875" s="25"/>
      <c r="B875" s="25"/>
      <c r="C875" s="25"/>
      <c r="D875" s="26"/>
      <c r="E875" s="26"/>
      <c r="F875" s="25"/>
      <c r="G875" s="25"/>
      <c r="H875" s="25"/>
      <c r="I875" s="26"/>
      <c r="J875" s="26"/>
      <c r="K875" s="2"/>
      <c r="L875" s="2"/>
      <c r="M875" s="2"/>
      <c r="N875" s="2"/>
      <c r="O875" s="2"/>
      <c r="P875" s="2"/>
      <c r="Q875" s="2"/>
      <c r="R875" s="2"/>
      <c r="S875" s="2"/>
      <c r="T875" s="2"/>
      <c r="U875" s="2"/>
      <c r="V875" s="2"/>
      <c r="W875" s="2"/>
      <c r="X875" s="2"/>
      <c r="Y875" s="2"/>
    </row>
    <row r="876">
      <c r="A876" s="25"/>
      <c r="B876" s="25"/>
      <c r="C876" s="25"/>
      <c r="D876" s="26"/>
      <c r="E876" s="26"/>
      <c r="F876" s="25"/>
      <c r="G876" s="25"/>
      <c r="H876" s="25"/>
      <c r="I876" s="26"/>
      <c r="J876" s="26"/>
      <c r="K876" s="2"/>
      <c r="L876" s="2"/>
      <c r="M876" s="2"/>
      <c r="N876" s="2"/>
      <c r="O876" s="2"/>
      <c r="P876" s="2"/>
      <c r="Q876" s="2"/>
      <c r="R876" s="2"/>
      <c r="S876" s="2"/>
      <c r="T876" s="2"/>
      <c r="U876" s="2"/>
      <c r="V876" s="2"/>
      <c r="W876" s="2"/>
      <c r="X876" s="2"/>
      <c r="Y876" s="2"/>
    </row>
    <row r="877">
      <c r="A877" s="25"/>
      <c r="B877" s="25"/>
      <c r="C877" s="25"/>
      <c r="D877" s="26"/>
      <c r="E877" s="26"/>
      <c r="F877" s="25"/>
      <c r="G877" s="25"/>
      <c r="H877" s="25"/>
      <c r="I877" s="26"/>
      <c r="J877" s="26"/>
      <c r="K877" s="2"/>
      <c r="L877" s="2"/>
      <c r="M877" s="2"/>
      <c r="N877" s="2"/>
      <c r="O877" s="2"/>
      <c r="P877" s="2"/>
      <c r="Q877" s="2"/>
      <c r="R877" s="2"/>
      <c r="S877" s="2"/>
      <c r="T877" s="2"/>
      <c r="U877" s="2"/>
      <c r="V877" s="2"/>
      <c r="W877" s="2"/>
      <c r="X877" s="2"/>
      <c r="Y877" s="2"/>
    </row>
    <row r="878">
      <c r="A878" s="25"/>
      <c r="B878" s="25"/>
      <c r="C878" s="25"/>
      <c r="D878" s="26"/>
      <c r="E878" s="26"/>
      <c r="F878" s="25"/>
      <c r="G878" s="25"/>
      <c r="H878" s="25"/>
      <c r="I878" s="26"/>
      <c r="J878" s="26"/>
      <c r="K878" s="2"/>
      <c r="L878" s="2"/>
      <c r="M878" s="2"/>
      <c r="N878" s="2"/>
      <c r="O878" s="2"/>
      <c r="P878" s="2"/>
      <c r="Q878" s="2"/>
      <c r="R878" s="2"/>
      <c r="S878" s="2"/>
      <c r="T878" s="2"/>
      <c r="U878" s="2"/>
      <c r="V878" s="2"/>
      <c r="W878" s="2"/>
      <c r="X878" s="2"/>
      <c r="Y878" s="2"/>
    </row>
    <row r="879">
      <c r="A879" s="25"/>
      <c r="B879" s="25"/>
      <c r="C879" s="25"/>
      <c r="D879" s="26"/>
      <c r="E879" s="26"/>
      <c r="F879" s="25"/>
      <c r="G879" s="25"/>
      <c r="H879" s="25"/>
      <c r="I879" s="26"/>
      <c r="J879" s="26"/>
      <c r="K879" s="2"/>
      <c r="L879" s="2"/>
      <c r="M879" s="2"/>
      <c r="N879" s="2"/>
      <c r="O879" s="2"/>
      <c r="P879" s="2"/>
      <c r="Q879" s="2"/>
      <c r="R879" s="2"/>
      <c r="S879" s="2"/>
      <c r="T879" s="2"/>
      <c r="U879" s="2"/>
      <c r="V879" s="2"/>
      <c r="W879" s="2"/>
      <c r="X879" s="2"/>
      <c r="Y879" s="2"/>
    </row>
    <row r="880">
      <c r="A880" s="25"/>
      <c r="B880" s="25"/>
      <c r="C880" s="25"/>
      <c r="D880" s="26"/>
      <c r="E880" s="26"/>
      <c r="F880" s="25"/>
      <c r="G880" s="25"/>
      <c r="H880" s="25"/>
      <c r="I880" s="26"/>
      <c r="J880" s="26"/>
      <c r="K880" s="2"/>
      <c r="L880" s="2"/>
      <c r="M880" s="2"/>
      <c r="N880" s="2"/>
      <c r="O880" s="2"/>
      <c r="P880" s="2"/>
      <c r="Q880" s="2"/>
      <c r="R880" s="2"/>
      <c r="S880" s="2"/>
      <c r="T880" s="2"/>
      <c r="U880" s="2"/>
      <c r="V880" s="2"/>
      <c r="W880" s="2"/>
      <c r="X880" s="2"/>
      <c r="Y880" s="2"/>
    </row>
    <row r="881">
      <c r="A881" s="25"/>
      <c r="B881" s="25"/>
      <c r="C881" s="25"/>
      <c r="D881" s="26"/>
      <c r="E881" s="26"/>
      <c r="F881" s="25"/>
      <c r="G881" s="25"/>
      <c r="H881" s="25"/>
      <c r="I881" s="26"/>
      <c r="J881" s="26"/>
      <c r="K881" s="2"/>
      <c r="L881" s="2"/>
      <c r="M881" s="2"/>
      <c r="N881" s="2"/>
      <c r="O881" s="2"/>
      <c r="P881" s="2"/>
      <c r="Q881" s="2"/>
      <c r="R881" s="2"/>
      <c r="S881" s="2"/>
      <c r="T881" s="2"/>
      <c r="U881" s="2"/>
      <c r="V881" s="2"/>
      <c r="W881" s="2"/>
      <c r="X881" s="2"/>
      <c r="Y881" s="2"/>
    </row>
    <row r="882">
      <c r="A882" s="25"/>
      <c r="B882" s="25"/>
      <c r="C882" s="25"/>
      <c r="D882" s="26"/>
      <c r="E882" s="26"/>
      <c r="F882" s="25"/>
      <c r="G882" s="25"/>
      <c r="H882" s="25"/>
      <c r="I882" s="26"/>
      <c r="J882" s="26"/>
      <c r="K882" s="2"/>
      <c r="L882" s="2"/>
      <c r="M882" s="2"/>
      <c r="N882" s="2"/>
      <c r="O882" s="2"/>
      <c r="P882" s="2"/>
      <c r="Q882" s="2"/>
      <c r="R882" s="2"/>
      <c r="S882" s="2"/>
      <c r="T882" s="2"/>
      <c r="U882" s="2"/>
      <c r="V882" s="2"/>
      <c r="W882" s="2"/>
      <c r="X882" s="2"/>
      <c r="Y882" s="2"/>
    </row>
    <row r="883">
      <c r="A883" s="25"/>
      <c r="B883" s="25"/>
      <c r="C883" s="25"/>
      <c r="D883" s="26"/>
      <c r="E883" s="26"/>
      <c r="F883" s="25"/>
      <c r="G883" s="25"/>
      <c r="H883" s="25"/>
      <c r="I883" s="26"/>
      <c r="J883" s="26"/>
      <c r="K883" s="2"/>
      <c r="L883" s="2"/>
      <c r="M883" s="2"/>
      <c r="N883" s="2"/>
      <c r="O883" s="2"/>
      <c r="P883" s="2"/>
      <c r="Q883" s="2"/>
      <c r="R883" s="2"/>
      <c r="S883" s="2"/>
      <c r="T883" s="2"/>
      <c r="U883" s="2"/>
      <c r="V883" s="2"/>
      <c r="W883" s="2"/>
      <c r="X883" s="2"/>
      <c r="Y883" s="2"/>
    </row>
    <row r="884">
      <c r="A884" s="25"/>
      <c r="B884" s="25"/>
      <c r="C884" s="25"/>
      <c r="D884" s="26"/>
      <c r="E884" s="26"/>
      <c r="F884" s="25"/>
      <c r="G884" s="25"/>
      <c r="H884" s="25"/>
      <c r="I884" s="26"/>
      <c r="J884" s="26"/>
      <c r="K884" s="2"/>
      <c r="L884" s="2"/>
      <c r="M884" s="2"/>
      <c r="N884" s="2"/>
      <c r="O884" s="2"/>
      <c r="P884" s="2"/>
      <c r="Q884" s="2"/>
      <c r="R884" s="2"/>
      <c r="S884" s="2"/>
      <c r="T884" s="2"/>
      <c r="U884" s="2"/>
      <c r="V884" s="2"/>
      <c r="W884" s="2"/>
      <c r="X884" s="2"/>
      <c r="Y884" s="2"/>
    </row>
    <row r="885">
      <c r="A885" s="25"/>
      <c r="B885" s="25"/>
      <c r="C885" s="25"/>
      <c r="D885" s="26"/>
      <c r="E885" s="26"/>
      <c r="F885" s="25"/>
      <c r="G885" s="25"/>
      <c r="H885" s="25"/>
      <c r="I885" s="26"/>
      <c r="J885" s="26"/>
      <c r="K885" s="2"/>
      <c r="L885" s="2"/>
      <c r="M885" s="2"/>
      <c r="N885" s="2"/>
      <c r="O885" s="2"/>
      <c r="P885" s="2"/>
      <c r="Q885" s="2"/>
      <c r="R885" s="2"/>
      <c r="S885" s="2"/>
      <c r="T885" s="2"/>
      <c r="U885" s="2"/>
      <c r="V885" s="2"/>
      <c r="W885" s="2"/>
      <c r="X885" s="2"/>
      <c r="Y885" s="2"/>
    </row>
    <row r="886">
      <c r="A886" s="25"/>
      <c r="B886" s="25"/>
      <c r="C886" s="25"/>
      <c r="D886" s="26"/>
      <c r="E886" s="26"/>
      <c r="F886" s="25"/>
      <c r="G886" s="25"/>
      <c r="H886" s="25"/>
      <c r="I886" s="26"/>
      <c r="J886" s="26"/>
      <c r="K886" s="2"/>
      <c r="L886" s="2"/>
      <c r="M886" s="2"/>
      <c r="N886" s="2"/>
      <c r="O886" s="2"/>
      <c r="P886" s="2"/>
      <c r="Q886" s="2"/>
      <c r="R886" s="2"/>
      <c r="S886" s="2"/>
      <c r="T886" s="2"/>
      <c r="U886" s="2"/>
      <c r="V886" s="2"/>
      <c r="W886" s="2"/>
      <c r="X886" s="2"/>
      <c r="Y886" s="2"/>
    </row>
    <row r="887">
      <c r="A887" s="25"/>
      <c r="B887" s="25"/>
      <c r="C887" s="25"/>
      <c r="D887" s="26"/>
      <c r="E887" s="26"/>
      <c r="F887" s="25"/>
      <c r="G887" s="25"/>
      <c r="H887" s="25"/>
      <c r="I887" s="26"/>
      <c r="J887" s="26"/>
      <c r="K887" s="2"/>
      <c r="L887" s="2"/>
      <c r="M887" s="2"/>
      <c r="N887" s="2"/>
      <c r="O887" s="2"/>
      <c r="P887" s="2"/>
      <c r="Q887" s="2"/>
      <c r="R887" s="2"/>
      <c r="S887" s="2"/>
      <c r="T887" s="2"/>
      <c r="U887" s="2"/>
      <c r="V887" s="2"/>
      <c r="W887" s="2"/>
      <c r="X887" s="2"/>
      <c r="Y887" s="2"/>
    </row>
    <row r="888">
      <c r="A888" s="25"/>
      <c r="B888" s="25"/>
      <c r="C888" s="25"/>
      <c r="D888" s="26"/>
      <c r="E888" s="26"/>
      <c r="F888" s="25"/>
      <c r="G888" s="25"/>
      <c r="H888" s="25"/>
      <c r="I888" s="26"/>
      <c r="J888" s="26"/>
      <c r="K888" s="2"/>
      <c r="L888" s="2"/>
      <c r="M888" s="2"/>
      <c r="N888" s="2"/>
      <c r="O888" s="2"/>
      <c r="P888" s="2"/>
      <c r="Q888" s="2"/>
      <c r="R888" s="2"/>
      <c r="S888" s="2"/>
      <c r="T888" s="2"/>
      <c r="U888" s="2"/>
      <c r="V888" s="2"/>
      <c r="W888" s="2"/>
      <c r="X888" s="2"/>
      <c r="Y888" s="2"/>
    </row>
    <row r="889">
      <c r="A889" s="25"/>
      <c r="B889" s="25"/>
      <c r="C889" s="25"/>
      <c r="D889" s="26"/>
      <c r="E889" s="26"/>
      <c r="F889" s="25"/>
      <c r="G889" s="25"/>
      <c r="H889" s="25"/>
      <c r="I889" s="26"/>
      <c r="J889" s="26"/>
      <c r="K889" s="2"/>
      <c r="L889" s="2"/>
      <c r="M889" s="2"/>
      <c r="N889" s="2"/>
      <c r="O889" s="2"/>
      <c r="P889" s="2"/>
      <c r="Q889" s="2"/>
      <c r="R889" s="2"/>
      <c r="S889" s="2"/>
      <c r="T889" s="2"/>
      <c r="U889" s="2"/>
      <c r="V889" s="2"/>
      <c r="W889" s="2"/>
      <c r="X889" s="2"/>
      <c r="Y889" s="2"/>
    </row>
    <row r="890">
      <c r="A890" s="25"/>
      <c r="B890" s="25"/>
      <c r="C890" s="25"/>
      <c r="D890" s="26"/>
      <c r="E890" s="26"/>
      <c r="F890" s="25"/>
      <c r="G890" s="25"/>
      <c r="H890" s="25"/>
      <c r="I890" s="26"/>
      <c r="J890" s="26"/>
      <c r="K890" s="2"/>
      <c r="L890" s="2"/>
      <c r="M890" s="2"/>
      <c r="N890" s="2"/>
      <c r="O890" s="2"/>
      <c r="P890" s="2"/>
      <c r="Q890" s="2"/>
      <c r="R890" s="2"/>
      <c r="S890" s="2"/>
      <c r="T890" s="2"/>
      <c r="U890" s="2"/>
      <c r="V890" s="2"/>
      <c r="W890" s="2"/>
      <c r="X890" s="2"/>
      <c r="Y890" s="2"/>
    </row>
    <row r="891">
      <c r="A891" s="25"/>
      <c r="B891" s="25"/>
      <c r="C891" s="25"/>
      <c r="D891" s="26"/>
      <c r="E891" s="26"/>
      <c r="F891" s="25"/>
      <c r="G891" s="25"/>
      <c r="H891" s="25"/>
      <c r="I891" s="26"/>
      <c r="J891" s="26"/>
      <c r="K891" s="2"/>
      <c r="L891" s="2"/>
      <c r="M891" s="2"/>
      <c r="N891" s="2"/>
      <c r="O891" s="2"/>
      <c r="P891" s="2"/>
      <c r="Q891" s="2"/>
      <c r="R891" s="2"/>
      <c r="S891" s="2"/>
      <c r="T891" s="2"/>
      <c r="U891" s="2"/>
      <c r="V891" s="2"/>
      <c r="W891" s="2"/>
      <c r="X891" s="2"/>
      <c r="Y891" s="2"/>
    </row>
    <row r="892">
      <c r="A892" s="25"/>
      <c r="B892" s="25"/>
      <c r="C892" s="25"/>
      <c r="D892" s="26"/>
      <c r="E892" s="26"/>
      <c r="F892" s="25"/>
      <c r="G892" s="25"/>
      <c r="H892" s="25"/>
      <c r="I892" s="26"/>
      <c r="J892" s="26"/>
      <c r="K892" s="2"/>
      <c r="L892" s="2"/>
      <c r="M892" s="2"/>
      <c r="N892" s="2"/>
      <c r="O892" s="2"/>
      <c r="P892" s="2"/>
      <c r="Q892" s="2"/>
      <c r="R892" s="2"/>
      <c r="S892" s="2"/>
      <c r="T892" s="2"/>
      <c r="U892" s="2"/>
      <c r="V892" s="2"/>
      <c r="W892" s="2"/>
      <c r="X892" s="2"/>
      <c r="Y892" s="2"/>
    </row>
    <row r="893">
      <c r="A893" s="25"/>
      <c r="B893" s="25"/>
      <c r="C893" s="25"/>
      <c r="D893" s="26"/>
      <c r="E893" s="26"/>
      <c r="F893" s="25"/>
      <c r="G893" s="25"/>
      <c r="H893" s="25"/>
      <c r="I893" s="26"/>
      <c r="J893" s="26"/>
      <c r="K893" s="2"/>
      <c r="L893" s="2"/>
      <c r="M893" s="2"/>
      <c r="N893" s="2"/>
      <c r="O893" s="2"/>
      <c r="P893" s="2"/>
      <c r="Q893" s="2"/>
      <c r="R893" s="2"/>
      <c r="S893" s="2"/>
      <c r="T893" s="2"/>
      <c r="U893" s="2"/>
      <c r="V893" s="2"/>
      <c r="W893" s="2"/>
      <c r="X893" s="2"/>
      <c r="Y893" s="2"/>
    </row>
    <row r="894">
      <c r="A894" s="25"/>
      <c r="B894" s="25"/>
      <c r="C894" s="25"/>
      <c r="D894" s="26"/>
      <c r="E894" s="26"/>
      <c r="F894" s="25"/>
      <c r="G894" s="25"/>
      <c r="H894" s="25"/>
      <c r="I894" s="26"/>
      <c r="J894" s="26"/>
      <c r="K894" s="2"/>
      <c r="L894" s="2"/>
      <c r="M894" s="2"/>
      <c r="N894" s="2"/>
      <c r="O894" s="2"/>
      <c r="P894" s="2"/>
      <c r="Q894" s="2"/>
      <c r="R894" s="2"/>
      <c r="S894" s="2"/>
      <c r="T894" s="2"/>
      <c r="U894" s="2"/>
      <c r="V894" s="2"/>
      <c r="W894" s="2"/>
      <c r="X894" s="2"/>
      <c r="Y894" s="2"/>
    </row>
    <row r="895">
      <c r="A895" s="25"/>
      <c r="B895" s="25"/>
      <c r="C895" s="25"/>
      <c r="D895" s="26"/>
      <c r="E895" s="26"/>
      <c r="F895" s="25"/>
      <c r="G895" s="25"/>
      <c r="H895" s="25"/>
      <c r="I895" s="26"/>
      <c r="J895" s="26"/>
      <c r="K895" s="2"/>
      <c r="L895" s="2"/>
      <c r="M895" s="2"/>
      <c r="N895" s="2"/>
      <c r="O895" s="2"/>
      <c r="P895" s="2"/>
      <c r="Q895" s="2"/>
      <c r="R895" s="2"/>
      <c r="S895" s="2"/>
      <c r="T895" s="2"/>
      <c r="U895" s="2"/>
      <c r="V895" s="2"/>
      <c r="W895" s="2"/>
      <c r="X895" s="2"/>
      <c r="Y895" s="2"/>
    </row>
    <row r="896">
      <c r="A896" s="25"/>
      <c r="B896" s="25"/>
      <c r="C896" s="25"/>
      <c r="D896" s="26"/>
      <c r="E896" s="26"/>
      <c r="F896" s="25"/>
      <c r="G896" s="25"/>
      <c r="H896" s="25"/>
      <c r="I896" s="26"/>
      <c r="J896" s="26"/>
      <c r="K896" s="2"/>
      <c r="L896" s="2"/>
      <c r="M896" s="2"/>
      <c r="N896" s="2"/>
      <c r="O896" s="2"/>
      <c r="P896" s="2"/>
      <c r="Q896" s="2"/>
      <c r="R896" s="2"/>
      <c r="S896" s="2"/>
      <c r="T896" s="2"/>
      <c r="U896" s="2"/>
      <c r="V896" s="2"/>
      <c r="W896" s="2"/>
      <c r="X896" s="2"/>
      <c r="Y896" s="2"/>
    </row>
    <row r="897">
      <c r="A897" s="25"/>
      <c r="B897" s="25"/>
      <c r="C897" s="25"/>
      <c r="D897" s="26"/>
      <c r="E897" s="26"/>
      <c r="F897" s="25"/>
      <c r="G897" s="25"/>
      <c r="H897" s="25"/>
      <c r="I897" s="26"/>
      <c r="J897" s="26"/>
      <c r="K897" s="2"/>
      <c r="L897" s="2"/>
      <c r="M897" s="2"/>
      <c r="N897" s="2"/>
      <c r="O897" s="2"/>
      <c r="P897" s="2"/>
      <c r="Q897" s="2"/>
      <c r="R897" s="2"/>
      <c r="S897" s="2"/>
      <c r="T897" s="2"/>
      <c r="U897" s="2"/>
      <c r="V897" s="2"/>
      <c r="W897" s="2"/>
      <c r="X897" s="2"/>
      <c r="Y897" s="2"/>
    </row>
    <row r="898">
      <c r="A898" s="25"/>
      <c r="B898" s="25"/>
      <c r="C898" s="25"/>
      <c r="D898" s="26"/>
      <c r="E898" s="26"/>
      <c r="F898" s="25"/>
      <c r="G898" s="25"/>
      <c r="H898" s="25"/>
      <c r="I898" s="26"/>
      <c r="J898" s="26"/>
      <c r="K898" s="2"/>
      <c r="L898" s="2"/>
      <c r="M898" s="2"/>
      <c r="N898" s="2"/>
      <c r="O898" s="2"/>
      <c r="P898" s="2"/>
      <c r="Q898" s="2"/>
      <c r="R898" s="2"/>
      <c r="S898" s="2"/>
      <c r="T898" s="2"/>
      <c r="U898" s="2"/>
      <c r="V898" s="2"/>
      <c r="W898" s="2"/>
      <c r="X898" s="2"/>
      <c r="Y898" s="2"/>
    </row>
    <row r="899">
      <c r="A899" s="25"/>
      <c r="B899" s="25"/>
      <c r="C899" s="25"/>
      <c r="D899" s="26"/>
      <c r="E899" s="26"/>
      <c r="F899" s="25"/>
      <c r="G899" s="25"/>
      <c r="H899" s="25"/>
      <c r="I899" s="26"/>
      <c r="J899" s="26"/>
      <c r="K899" s="2"/>
      <c r="L899" s="2"/>
      <c r="M899" s="2"/>
      <c r="N899" s="2"/>
      <c r="O899" s="2"/>
      <c r="P899" s="2"/>
      <c r="Q899" s="2"/>
      <c r="R899" s="2"/>
      <c r="S899" s="2"/>
      <c r="T899" s="2"/>
      <c r="U899" s="2"/>
      <c r="V899" s="2"/>
      <c r="W899" s="2"/>
      <c r="X899" s="2"/>
      <c r="Y899" s="2"/>
    </row>
    <row r="900">
      <c r="A900" s="25"/>
      <c r="B900" s="25"/>
      <c r="C900" s="25"/>
      <c r="D900" s="26"/>
      <c r="E900" s="26"/>
      <c r="F900" s="25"/>
      <c r="G900" s="25"/>
      <c r="H900" s="25"/>
      <c r="I900" s="26"/>
      <c r="J900" s="26"/>
      <c r="K900" s="2"/>
      <c r="L900" s="2"/>
      <c r="M900" s="2"/>
      <c r="N900" s="2"/>
      <c r="O900" s="2"/>
      <c r="P900" s="2"/>
      <c r="Q900" s="2"/>
      <c r="R900" s="2"/>
      <c r="S900" s="2"/>
      <c r="T900" s="2"/>
      <c r="U900" s="2"/>
      <c r="V900" s="2"/>
      <c r="W900" s="2"/>
      <c r="X900" s="2"/>
      <c r="Y900" s="2"/>
    </row>
    <row r="901">
      <c r="A901" s="25"/>
      <c r="B901" s="25"/>
      <c r="C901" s="25"/>
      <c r="D901" s="26"/>
      <c r="E901" s="26"/>
      <c r="F901" s="25"/>
      <c r="G901" s="25"/>
      <c r="H901" s="25"/>
      <c r="I901" s="26"/>
      <c r="J901" s="26"/>
      <c r="K901" s="2"/>
      <c r="L901" s="2"/>
      <c r="M901" s="2"/>
      <c r="N901" s="2"/>
      <c r="O901" s="2"/>
      <c r="P901" s="2"/>
      <c r="Q901" s="2"/>
      <c r="R901" s="2"/>
      <c r="S901" s="2"/>
      <c r="T901" s="2"/>
      <c r="U901" s="2"/>
      <c r="V901" s="2"/>
      <c r="W901" s="2"/>
      <c r="X901" s="2"/>
      <c r="Y901" s="2"/>
    </row>
    <row r="902">
      <c r="A902" s="25"/>
      <c r="B902" s="25"/>
      <c r="C902" s="25"/>
      <c r="D902" s="26"/>
      <c r="E902" s="26"/>
      <c r="F902" s="25"/>
      <c r="G902" s="25"/>
      <c r="H902" s="25"/>
      <c r="I902" s="26"/>
      <c r="J902" s="26"/>
      <c r="K902" s="2"/>
      <c r="L902" s="2"/>
      <c r="M902" s="2"/>
      <c r="N902" s="2"/>
      <c r="O902" s="2"/>
      <c r="P902" s="2"/>
      <c r="Q902" s="2"/>
      <c r="R902" s="2"/>
      <c r="S902" s="2"/>
      <c r="T902" s="2"/>
      <c r="U902" s="2"/>
      <c r="V902" s="2"/>
      <c r="W902" s="2"/>
      <c r="X902" s="2"/>
      <c r="Y902" s="2"/>
    </row>
    <row r="903">
      <c r="A903" s="25"/>
      <c r="B903" s="25"/>
      <c r="C903" s="25"/>
      <c r="D903" s="26"/>
      <c r="E903" s="26"/>
      <c r="F903" s="25"/>
      <c r="G903" s="25"/>
      <c r="H903" s="25"/>
      <c r="I903" s="26"/>
      <c r="J903" s="26"/>
      <c r="K903" s="2"/>
      <c r="L903" s="2"/>
      <c r="M903" s="2"/>
      <c r="N903" s="2"/>
      <c r="O903" s="2"/>
      <c r="P903" s="2"/>
      <c r="Q903" s="2"/>
      <c r="R903" s="2"/>
      <c r="S903" s="2"/>
      <c r="T903" s="2"/>
      <c r="U903" s="2"/>
      <c r="V903" s="2"/>
      <c r="W903" s="2"/>
      <c r="X903" s="2"/>
      <c r="Y903" s="2"/>
    </row>
    <row r="904">
      <c r="A904" s="25"/>
      <c r="B904" s="25"/>
      <c r="C904" s="25"/>
      <c r="D904" s="26"/>
      <c r="E904" s="26"/>
      <c r="F904" s="25"/>
      <c r="G904" s="25"/>
      <c r="H904" s="25"/>
      <c r="I904" s="26"/>
      <c r="J904" s="26"/>
      <c r="K904" s="2"/>
      <c r="L904" s="2"/>
      <c r="M904" s="2"/>
      <c r="N904" s="2"/>
      <c r="O904" s="2"/>
      <c r="P904" s="2"/>
      <c r="Q904" s="2"/>
      <c r="R904" s="2"/>
      <c r="S904" s="2"/>
      <c r="T904" s="2"/>
      <c r="U904" s="2"/>
      <c r="V904" s="2"/>
      <c r="W904" s="2"/>
      <c r="X904" s="2"/>
      <c r="Y904" s="2"/>
    </row>
    <row r="905">
      <c r="A905" s="25"/>
      <c r="B905" s="25"/>
      <c r="C905" s="25"/>
      <c r="D905" s="26"/>
      <c r="E905" s="26"/>
      <c r="F905" s="25"/>
      <c r="G905" s="25"/>
      <c r="H905" s="25"/>
      <c r="I905" s="26"/>
      <c r="J905" s="26"/>
      <c r="K905" s="2"/>
      <c r="L905" s="2"/>
      <c r="M905" s="2"/>
      <c r="N905" s="2"/>
      <c r="O905" s="2"/>
      <c r="P905" s="2"/>
      <c r="Q905" s="2"/>
      <c r="R905" s="2"/>
      <c r="S905" s="2"/>
      <c r="T905" s="2"/>
      <c r="U905" s="2"/>
      <c r="V905" s="2"/>
      <c r="W905" s="2"/>
      <c r="X905" s="2"/>
      <c r="Y905" s="2"/>
    </row>
    <row r="906">
      <c r="A906" s="25"/>
      <c r="B906" s="25"/>
      <c r="C906" s="25"/>
      <c r="D906" s="26"/>
      <c r="E906" s="26"/>
      <c r="F906" s="25"/>
      <c r="G906" s="25"/>
      <c r="H906" s="25"/>
      <c r="I906" s="26"/>
      <c r="J906" s="26"/>
      <c r="K906" s="2"/>
      <c r="L906" s="2"/>
      <c r="M906" s="2"/>
      <c r="N906" s="2"/>
      <c r="O906" s="2"/>
      <c r="P906" s="2"/>
      <c r="Q906" s="2"/>
      <c r="R906" s="2"/>
      <c r="S906" s="2"/>
      <c r="T906" s="2"/>
      <c r="U906" s="2"/>
      <c r="V906" s="2"/>
      <c r="W906" s="2"/>
      <c r="X906" s="2"/>
      <c r="Y906" s="2"/>
    </row>
    <row r="907">
      <c r="A907" s="25"/>
      <c r="B907" s="25"/>
      <c r="C907" s="25"/>
      <c r="D907" s="26"/>
      <c r="E907" s="26"/>
      <c r="F907" s="25"/>
      <c r="G907" s="25"/>
      <c r="H907" s="25"/>
      <c r="I907" s="26"/>
      <c r="J907" s="26"/>
      <c r="K907" s="2"/>
      <c r="L907" s="2"/>
      <c r="M907" s="2"/>
      <c r="N907" s="2"/>
      <c r="O907" s="2"/>
      <c r="P907" s="2"/>
      <c r="Q907" s="2"/>
      <c r="R907" s="2"/>
      <c r="S907" s="2"/>
      <c r="T907" s="2"/>
      <c r="U907" s="2"/>
      <c r="V907" s="2"/>
      <c r="W907" s="2"/>
      <c r="X907" s="2"/>
      <c r="Y907" s="2"/>
    </row>
    <row r="908">
      <c r="A908" s="25"/>
      <c r="B908" s="25"/>
      <c r="C908" s="25"/>
      <c r="D908" s="26"/>
      <c r="E908" s="26"/>
      <c r="F908" s="25"/>
      <c r="G908" s="25"/>
      <c r="H908" s="25"/>
      <c r="I908" s="26"/>
      <c r="J908" s="26"/>
      <c r="K908" s="2"/>
      <c r="L908" s="2"/>
      <c r="M908" s="2"/>
      <c r="N908" s="2"/>
      <c r="O908" s="2"/>
      <c r="P908" s="2"/>
      <c r="Q908" s="2"/>
      <c r="R908" s="2"/>
      <c r="S908" s="2"/>
      <c r="T908" s="2"/>
      <c r="U908" s="2"/>
      <c r="V908" s="2"/>
      <c r="W908" s="2"/>
      <c r="X908" s="2"/>
      <c r="Y908" s="2"/>
    </row>
    <row r="909">
      <c r="A909" s="25"/>
      <c r="B909" s="25"/>
      <c r="C909" s="25"/>
      <c r="D909" s="26"/>
      <c r="E909" s="26"/>
      <c r="F909" s="25"/>
      <c r="G909" s="25"/>
      <c r="H909" s="25"/>
      <c r="I909" s="26"/>
      <c r="J909" s="26"/>
      <c r="K909" s="2"/>
      <c r="L909" s="2"/>
      <c r="M909" s="2"/>
      <c r="N909" s="2"/>
      <c r="O909" s="2"/>
      <c r="P909" s="2"/>
      <c r="Q909" s="2"/>
      <c r="R909" s="2"/>
      <c r="S909" s="2"/>
      <c r="T909" s="2"/>
      <c r="U909" s="2"/>
      <c r="V909" s="2"/>
      <c r="W909" s="2"/>
      <c r="X909" s="2"/>
      <c r="Y909" s="2"/>
    </row>
    <row r="910">
      <c r="A910" s="25"/>
      <c r="B910" s="25"/>
      <c r="C910" s="25"/>
      <c r="D910" s="26"/>
      <c r="E910" s="26"/>
      <c r="F910" s="25"/>
      <c r="G910" s="25"/>
      <c r="H910" s="25"/>
      <c r="I910" s="26"/>
      <c r="J910" s="26"/>
      <c r="K910" s="2"/>
      <c r="L910" s="2"/>
      <c r="M910" s="2"/>
      <c r="N910" s="2"/>
      <c r="O910" s="2"/>
      <c r="P910" s="2"/>
      <c r="Q910" s="2"/>
      <c r="R910" s="2"/>
      <c r="S910" s="2"/>
      <c r="T910" s="2"/>
      <c r="U910" s="2"/>
      <c r="V910" s="2"/>
      <c r="W910" s="2"/>
      <c r="X910" s="2"/>
      <c r="Y910" s="2"/>
    </row>
    <row r="911">
      <c r="A911" s="25"/>
      <c r="B911" s="25"/>
      <c r="C911" s="25"/>
      <c r="D911" s="26"/>
      <c r="E911" s="26"/>
      <c r="F911" s="25"/>
      <c r="G911" s="25"/>
      <c r="H911" s="25"/>
      <c r="I911" s="26"/>
      <c r="J911" s="26"/>
      <c r="K911" s="2"/>
      <c r="L911" s="2"/>
      <c r="M911" s="2"/>
      <c r="N911" s="2"/>
      <c r="O911" s="2"/>
      <c r="P911" s="2"/>
      <c r="Q911" s="2"/>
      <c r="R911" s="2"/>
      <c r="S911" s="2"/>
      <c r="T911" s="2"/>
      <c r="U911" s="2"/>
      <c r="V911" s="2"/>
      <c r="W911" s="2"/>
      <c r="X911" s="2"/>
      <c r="Y911" s="2"/>
    </row>
    <row r="912">
      <c r="A912" s="25"/>
      <c r="B912" s="25"/>
      <c r="C912" s="25"/>
      <c r="D912" s="26"/>
      <c r="E912" s="26"/>
      <c r="F912" s="25"/>
      <c r="G912" s="25"/>
      <c r="H912" s="25"/>
      <c r="I912" s="26"/>
      <c r="J912" s="26"/>
      <c r="K912" s="2"/>
      <c r="L912" s="2"/>
      <c r="M912" s="2"/>
      <c r="N912" s="2"/>
      <c r="O912" s="2"/>
      <c r="P912" s="2"/>
      <c r="Q912" s="2"/>
      <c r="R912" s="2"/>
      <c r="S912" s="2"/>
      <c r="T912" s="2"/>
      <c r="U912" s="2"/>
      <c r="V912" s="2"/>
      <c r="W912" s="2"/>
      <c r="X912" s="2"/>
      <c r="Y912" s="2"/>
    </row>
    <row r="913">
      <c r="A913" s="25"/>
      <c r="B913" s="25"/>
      <c r="C913" s="25"/>
      <c r="D913" s="26"/>
      <c r="E913" s="26"/>
      <c r="F913" s="25"/>
      <c r="G913" s="25"/>
      <c r="H913" s="25"/>
      <c r="I913" s="26"/>
      <c r="J913" s="26"/>
      <c r="K913" s="2"/>
      <c r="L913" s="2"/>
      <c r="M913" s="2"/>
      <c r="N913" s="2"/>
      <c r="O913" s="2"/>
      <c r="P913" s="2"/>
      <c r="Q913" s="2"/>
      <c r="R913" s="2"/>
      <c r="S913" s="2"/>
      <c r="T913" s="2"/>
      <c r="U913" s="2"/>
      <c r="V913" s="2"/>
      <c r="W913" s="2"/>
      <c r="X913" s="2"/>
      <c r="Y913" s="2"/>
    </row>
    <row r="914">
      <c r="A914" s="25"/>
      <c r="B914" s="25"/>
      <c r="C914" s="25"/>
      <c r="D914" s="26"/>
      <c r="E914" s="26"/>
      <c r="F914" s="25"/>
      <c r="G914" s="25"/>
      <c r="H914" s="25"/>
      <c r="I914" s="26"/>
      <c r="J914" s="26"/>
      <c r="K914" s="2"/>
      <c r="L914" s="2"/>
      <c r="M914" s="2"/>
      <c r="N914" s="2"/>
      <c r="O914" s="2"/>
      <c r="P914" s="2"/>
      <c r="Q914" s="2"/>
      <c r="R914" s="2"/>
      <c r="S914" s="2"/>
      <c r="T914" s="2"/>
      <c r="U914" s="2"/>
      <c r="V914" s="2"/>
      <c r="W914" s="2"/>
      <c r="X914" s="2"/>
      <c r="Y914" s="2"/>
    </row>
    <row r="915">
      <c r="A915" s="25"/>
      <c r="B915" s="25"/>
      <c r="C915" s="25"/>
      <c r="D915" s="26"/>
      <c r="E915" s="26"/>
      <c r="F915" s="25"/>
      <c r="G915" s="25"/>
      <c r="H915" s="25"/>
      <c r="I915" s="26"/>
      <c r="J915" s="26"/>
      <c r="K915" s="2"/>
      <c r="L915" s="2"/>
      <c r="M915" s="2"/>
      <c r="N915" s="2"/>
      <c r="O915" s="2"/>
      <c r="P915" s="2"/>
      <c r="Q915" s="2"/>
      <c r="R915" s="2"/>
      <c r="S915" s="2"/>
      <c r="T915" s="2"/>
      <c r="U915" s="2"/>
      <c r="V915" s="2"/>
      <c r="W915" s="2"/>
      <c r="X915" s="2"/>
      <c r="Y915" s="2"/>
    </row>
    <row r="916">
      <c r="A916" s="25"/>
      <c r="B916" s="25"/>
      <c r="C916" s="25"/>
      <c r="D916" s="26"/>
      <c r="E916" s="26"/>
      <c r="F916" s="25"/>
      <c r="G916" s="25"/>
      <c r="H916" s="25"/>
      <c r="I916" s="26"/>
      <c r="J916" s="26"/>
      <c r="K916" s="2"/>
      <c r="L916" s="2"/>
      <c r="M916" s="2"/>
      <c r="N916" s="2"/>
      <c r="O916" s="2"/>
      <c r="P916" s="2"/>
      <c r="Q916" s="2"/>
      <c r="R916" s="2"/>
      <c r="S916" s="2"/>
      <c r="T916" s="2"/>
      <c r="U916" s="2"/>
      <c r="V916" s="2"/>
      <c r="W916" s="2"/>
      <c r="X916" s="2"/>
      <c r="Y916" s="2"/>
    </row>
    <row r="917">
      <c r="A917" s="25"/>
      <c r="B917" s="25"/>
      <c r="C917" s="25"/>
      <c r="D917" s="26"/>
      <c r="E917" s="26"/>
      <c r="F917" s="25"/>
      <c r="G917" s="25"/>
      <c r="H917" s="25"/>
      <c r="I917" s="26"/>
      <c r="J917" s="26"/>
      <c r="K917" s="2"/>
      <c r="L917" s="2"/>
      <c r="M917" s="2"/>
      <c r="N917" s="2"/>
      <c r="O917" s="2"/>
      <c r="P917" s="2"/>
      <c r="Q917" s="2"/>
      <c r="R917" s="2"/>
      <c r="S917" s="2"/>
      <c r="T917" s="2"/>
      <c r="U917" s="2"/>
      <c r="V917" s="2"/>
      <c r="W917" s="2"/>
      <c r="X917" s="2"/>
      <c r="Y917" s="2"/>
    </row>
    <row r="918">
      <c r="A918" s="25"/>
      <c r="B918" s="25"/>
      <c r="C918" s="25"/>
      <c r="D918" s="26"/>
      <c r="E918" s="26"/>
      <c r="F918" s="25"/>
      <c r="G918" s="25"/>
      <c r="H918" s="25"/>
      <c r="I918" s="26"/>
      <c r="J918" s="26"/>
      <c r="K918" s="2"/>
      <c r="L918" s="2"/>
      <c r="M918" s="2"/>
      <c r="N918" s="2"/>
      <c r="O918" s="2"/>
      <c r="P918" s="2"/>
      <c r="Q918" s="2"/>
      <c r="R918" s="2"/>
      <c r="S918" s="2"/>
      <c r="T918" s="2"/>
      <c r="U918" s="2"/>
      <c r="V918" s="2"/>
      <c r="W918" s="2"/>
      <c r="X918" s="2"/>
      <c r="Y918" s="2"/>
    </row>
    <row r="919">
      <c r="A919" s="25"/>
      <c r="B919" s="25"/>
      <c r="C919" s="25"/>
      <c r="D919" s="26"/>
      <c r="E919" s="26"/>
      <c r="F919" s="25"/>
      <c r="G919" s="25"/>
      <c r="H919" s="25"/>
      <c r="I919" s="26"/>
      <c r="J919" s="26"/>
      <c r="K919" s="2"/>
      <c r="L919" s="2"/>
      <c r="M919" s="2"/>
      <c r="N919" s="2"/>
      <c r="O919" s="2"/>
      <c r="P919" s="2"/>
      <c r="Q919" s="2"/>
      <c r="R919" s="2"/>
      <c r="S919" s="2"/>
      <c r="T919" s="2"/>
      <c r="U919" s="2"/>
      <c r="V919" s="2"/>
      <c r="W919" s="2"/>
      <c r="X919" s="2"/>
      <c r="Y919" s="2"/>
    </row>
    <row r="920">
      <c r="A920" s="25"/>
      <c r="B920" s="25"/>
      <c r="C920" s="25"/>
      <c r="D920" s="26"/>
      <c r="E920" s="26"/>
      <c r="F920" s="25"/>
      <c r="G920" s="25"/>
      <c r="H920" s="25"/>
      <c r="I920" s="26"/>
      <c r="J920" s="26"/>
      <c r="K920" s="2"/>
      <c r="L920" s="2"/>
      <c r="M920" s="2"/>
      <c r="N920" s="2"/>
      <c r="O920" s="2"/>
      <c r="P920" s="2"/>
      <c r="Q920" s="2"/>
      <c r="R920" s="2"/>
      <c r="S920" s="2"/>
      <c r="T920" s="2"/>
      <c r="U920" s="2"/>
      <c r="V920" s="2"/>
      <c r="W920" s="2"/>
      <c r="X920" s="2"/>
      <c r="Y920" s="2"/>
    </row>
    <row r="921">
      <c r="A921" s="25"/>
      <c r="B921" s="25"/>
      <c r="C921" s="25"/>
      <c r="D921" s="26"/>
      <c r="E921" s="26"/>
      <c r="F921" s="25"/>
      <c r="G921" s="25"/>
      <c r="H921" s="25"/>
      <c r="I921" s="26"/>
      <c r="J921" s="26"/>
      <c r="K921" s="2"/>
      <c r="L921" s="2"/>
      <c r="M921" s="2"/>
      <c r="N921" s="2"/>
      <c r="O921" s="2"/>
      <c r="P921" s="2"/>
      <c r="Q921" s="2"/>
      <c r="R921" s="2"/>
      <c r="S921" s="2"/>
      <c r="T921" s="2"/>
      <c r="U921" s="2"/>
      <c r="V921" s="2"/>
      <c r="W921" s="2"/>
      <c r="X921" s="2"/>
      <c r="Y921" s="2"/>
    </row>
    <row r="922">
      <c r="A922" s="25"/>
      <c r="B922" s="25"/>
      <c r="C922" s="25"/>
      <c r="D922" s="26"/>
      <c r="E922" s="26"/>
      <c r="F922" s="25"/>
      <c r="G922" s="25"/>
      <c r="H922" s="25"/>
      <c r="I922" s="26"/>
      <c r="J922" s="26"/>
      <c r="K922" s="2"/>
      <c r="L922" s="2"/>
      <c r="M922" s="2"/>
      <c r="N922" s="2"/>
      <c r="O922" s="2"/>
      <c r="P922" s="2"/>
      <c r="Q922" s="2"/>
      <c r="R922" s="2"/>
      <c r="S922" s="2"/>
      <c r="T922" s="2"/>
      <c r="U922" s="2"/>
      <c r="V922" s="2"/>
      <c r="W922" s="2"/>
      <c r="X922" s="2"/>
      <c r="Y922" s="2"/>
    </row>
    <row r="923">
      <c r="A923" s="25"/>
      <c r="B923" s="25"/>
      <c r="C923" s="25"/>
      <c r="D923" s="26"/>
      <c r="E923" s="26"/>
      <c r="F923" s="25"/>
      <c r="G923" s="25"/>
      <c r="H923" s="25"/>
      <c r="I923" s="26"/>
      <c r="J923" s="26"/>
      <c r="K923" s="2"/>
      <c r="L923" s="2"/>
      <c r="M923" s="2"/>
      <c r="N923" s="2"/>
      <c r="O923" s="2"/>
      <c r="P923" s="2"/>
      <c r="Q923" s="2"/>
      <c r="R923" s="2"/>
      <c r="S923" s="2"/>
      <c r="T923" s="2"/>
      <c r="U923" s="2"/>
      <c r="V923" s="2"/>
      <c r="W923" s="2"/>
      <c r="X923" s="2"/>
      <c r="Y923" s="2"/>
    </row>
    <row r="924">
      <c r="A924" s="25"/>
      <c r="B924" s="25"/>
      <c r="C924" s="25"/>
      <c r="D924" s="26"/>
      <c r="E924" s="26"/>
      <c r="F924" s="25"/>
      <c r="G924" s="25"/>
      <c r="H924" s="25"/>
      <c r="I924" s="26"/>
      <c r="J924" s="26"/>
      <c r="K924" s="2"/>
      <c r="L924" s="2"/>
      <c r="M924" s="2"/>
      <c r="N924" s="2"/>
      <c r="O924" s="2"/>
      <c r="P924" s="2"/>
      <c r="Q924" s="2"/>
      <c r="R924" s="2"/>
      <c r="S924" s="2"/>
      <c r="T924" s="2"/>
      <c r="U924" s="2"/>
      <c r="V924" s="2"/>
      <c r="W924" s="2"/>
      <c r="X924" s="2"/>
      <c r="Y924" s="2"/>
    </row>
    <row r="925">
      <c r="A925" s="25"/>
      <c r="B925" s="25"/>
      <c r="C925" s="25"/>
      <c r="D925" s="26"/>
      <c r="E925" s="26"/>
      <c r="F925" s="25"/>
      <c r="G925" s="25"/>
      <c r="H925" s="25"/>
      <c r="I925" s="26"/>
      <c r="J925" s="26"/>
      <c r="K925" s="2"/>
      <c r="L925" s="2"/>
      <c r="M925" s="2"/>
      <c r="N925" s="2"/>
      <c r="O925" s="2"/>
      <c r="P925" s="2"/>
      <c r="Q925" s="2"/>
      <c r="R925" s="2"/>
      <c r="S925" s="2"/>
      <c r="T925" s="2"/>
      <c r="U925" s="2"/>
      <c r="V925" s="2"/>
      <c r="W925" s="2"/>
      <c r="X925" s="2"/>
      <c r="Y925" s="2"/>
    </row>
    <row r="926">
      <c r="A926" s="25"/>
      <c r="B926" s="25"/>
      <c r="C926" s="25"/>
      <c r="D926" s="26"/>
      <c r="E926" s="26"/>
      <c r="F926" s="25"/>
      <c r="G926" s="25"/>
      <c r="H926" s="25"/>
      <c r="I926" s="26"/>
      <c r="J926" s="26"/>
      <c r="K926" s="2"/>
      <c r="L926" s="2"/>
      <c r="M926" s="2"/>
      <c r="N926" s="2"/>
      <c r="O926" s="2"/>
      <c r="P926" s="2"/>
      <c r="Q926" s="2"/>
      <c r="R926" s="2"/>
      <c r="S926" s="2"/>
      <c r="T926" s="2"/>
      <c r="U926" s="2"/>
      <c r="V926" s="2"/>
      <c r="W926" s="2"/>
      <c r="X926" s="2"/>
      <c r="Y926" s="2"/>
    </row>
    <row r="927">
      <c r="A927" s="25"/>
      <c r="B927" s="25"/>
      <c r="C927" s="25"/>
      <c r="D927" s="26"/>
      <c r="E927" s="26"/>
      <c r="F927" s="25"/>
      <c r="G927" s="25"/>
      <c r="H927" s="25"/>
      <c r="I927" s="26"/>
      <c r="J927" s="26"/>
      <c r="K927" s="2"/>
      <c r="L927" s="2"/>
      <c r="M927" s="2"/>
      <c r="N927" s="2"/>
      <c r="O927" s="2"/>
      <c r="P927" s="2"/>
      <c r="Q927" s="2"/>
      <c r="R927" s="2"/>
      <c r="S927" s="2"/>
      <c r="T927" s="2"/>
      <c r="U927" s="2"/>
      <c r="V927" s="2"/>
      <c r="W927" s="2"/>
      <c r="X927" s="2"/>
      <c r="Y927" s="2"/>
    </row>
    <row r="928">
      <c r="A928" s="25"/>
      <c r="B928" s="25"/>
      <c r="C928" s="25"/>
      <c r="D928" s="26"/>
      <c r="E928" s="26"/>
      <c r="F928" s="25"/>
      <c r="G928" s="25"/>
      <c r="H928" s="25"/>
      <c r="I928" s="26"/>
      <c r="J928" s="26"/>
      <c r="K928" s="2"/>
      <c r="L928" s="2"/>
      <c r="M928" s="2"/>
      <c r="N928" s="2"/>
      <c r="O928" s="2"/>
      <c r="P928" s="2"/>
      <c r="Q928" s="2"/>
      <c r="R928" s="2"/>
      <c r="S928" s="2"/>
      <c r="T928" s="2"/>
      <c r="U928" s="2"/>
      <c r="V928" s="2"/>
      <c r="W928" s="2"/>
      <c r="X928" s="2"/>
      <c r="Y928" s="2"/>
    </row>
    <row r="929">
      <c r="A929" s="25"/>
      <c r="B929" s="25"/>
      <c r="C929" s="25"/>
      <c r="D929" s="26"/>
      <c r="E929" s="26"/>
      <c r="F929" s="25"/>
      <c r="G929" s="25"/>
      <c r="H929" s="25"/>
      <c r="I929" s="26"/>
      <c r="J929" s="26"/>
      <c r="K929" s="2"/>
      <c r="L929" s="2"/>
      <c r="M929" s="2"/>
      <c r="N929" s="2"/>
      <c r="O929" s="2"/>
      <c r="P929" s="2"/>
      <c r="Q929" s="2"/>
      <c r="R929" s="2"/>
      <c r="S929" s="2"/>
      <c r="T929" s="2"/>
      <c r="U929" s="2"/>
      <c r="V929" s="2"/>
      <c r="W929" s="2"/>
      <c r="X929" s="2"/>
      <c r="Y929" s="2"/>
    </row>
    <row r="930">
      <c r="A930" s="25"/>
      <c r="B930" s="25"/>
      <c r="C930" s="25"/>
      <c r="D930" s="26"/>
      <c r="E930" s="26"/>
      <c r="F930" s="25"/>
      <c r="G930" s="25"/>
      <c r="H930" s="25"/>
      <c r="I930" s="26"/>
      <c r="J930" s="26"/>
      <c r="K930" s="2"/>
      <c r="L930" s="2"/>
      <c r="M930" s="2"/>
      <c r="N930" s="2"/>
      <c r="O930" s="2"/>
      <c r="P930" s="2"/>
      <c r="Q930" s="2"/>
      <c r="R930" s="2"/>
      <c r="S930" s="2"/>
      <c r="T930" s="2"/>
      <c r="U930" s="2"/>
      <c r="V930" s="2"/>
      <c r="W930" s="2"/>
      <c r="X930" s="2"/>
      <c r="Y930" s="2"/>
    </row>
    <row r="931">
      <c r="A931" s="25"/>
      <c r="B931" s="25"/>
      <c r="C931" s="25"/>
      <c r="D931" s="26"/>
      <c r="E931" s="26"/>
      <c r="F931" s="25"/>
      <c r="G931" s="25"/>
      <c r="H931" s="25"/>
      <c r="I931" s="26"/>
      <c r="J931" s="26"/>
      <c r="K931" s="2"/>
      <c r="L931" s="2"/>
      <c r="M931" s="2"/>
      <c r="N931" s="2"/>
      <c r="O931" s="2"/>
      <c r="P931" s="2"/>
      <c r="Q931" s="2"/>
      <c r="R931" s="2"/>
      <c r="S931" s="2"/>
      <c r="T931" s="2"/>
      <c r="U931" s="2"/>
      <c r="V931" s="2"/>
      <c r="W931" s="2"/>
      <c r="X931" s="2"/>
      <c r="Y931" s="2"/>
    </row>
    <row r="932">
      <c r="A932" s="25"/>
      <c r="B932" s="25"/>
      <c r="C932" s="25"/>
      <c r="D932" s="26"/>
      <c r="E932" s="26"/>
      <c r="F932" s="25"/>
      <c r="G932" s="25"/>
      <c r="H932" s="25"/>
      <c r="I932" s="26"/>
      <c r="J932" s="26"/>
      <c r="K932" s="2"/>
      <c r="L932" s="2"/>
      <c r="M932" s="2"/>
      <c r="N932" s="2"/>
      <c r="O932" s="2"/>
      <c r="P932" s="2"/>
      <c r="Q932" s="2"/>
      <c r="R932" s="2"/>
      <c r="S932" s="2"/>
      <c r="T932" s="2"/>
      <c r="U932" s="2"/>
      <c r="V932" s="2"/>
      <c r="W932" s="2"/>
      <c r="X932" s="2"/>
      <c r="Y932" s="2"/>
    </row>
    <row r="933">
      <c r="A933" s="25"/>
      <c r="B933" s="25"/>
      <c r="C933" s="25"/>
      <c r="D933" s="26"/>
      <c r="E933" s="26"/>
      <c r="F933" s="25"/>
      <c r="G933" s="25"/>
      <c r="H933" s="25"/>
      <c r="I933" s="26"/>
      <c r="J933" s="26"/>
      <c r="K933" s="2"/>
      <c r="L933" s="2"/>
      <c r="M933" s="2"/>
      <c r="N933" s="2"/>
      <c r="O933" s="2"/>
      <c r="P933" s="2"/>
      <c r="Q933" s="2"/>
      <c r="R933" s="2"/>
      <c r="S933" s="2"/>
      <c r="T933" s="2"/>
      <c r="U933" s="2"/>
      <c r="V933" s="2"/>
      <c r="W933" s="2"/>
      <c r="X933" s="2"/>
      <c r="Y933" s="2"/>
    </row>
    <row r="934">
      <c r="A934" s="25"/>
      <c r="B934" s="25"/>
      <c r="C934" s="25"/>
      <c r="D934" s="26"/>
      <c r="E934" s="26"/>
      <c r="F934" s="25"/>
      <c r="G934" s="25"/>
      <c r="H934" s="25"/>
      <c r="I934" s="26"/>
      <c r="J934" s="26"/>
      <c r="K934" s="2"/>
      <c r="L934" s="2"/>
      <c r="M934" s="2"/>
      <c r="N934" s="2"/>
      <c r="O934" s="2"/>
      <c r="P934" s="2"/>
      <c r="Q934" s="2"/>
      <c r="R934" s="2"/>
      <c r="S934" s="2"/>
      <c r="T934" s="2"/>
      <c r="U934" s="2"/>
      <c r="V934" s="2"/>
      <c r="W934" s="2"/>
      <c r="X934" s="2"/>
      <c r="Y934" s="2"/>
    </row>
    <row r="935">
      <c r="A935" s="25"/>
      <c r="B935" s="25"/>
      <c r="C935" s="25"/>
      <c r="D935" s="26"/>
      <c r="E935" s="26"/>
      <c r="F935" s="25"/>
      <c r="G935" s="25"/>
      <c r="H935" s="25"/>
      <c r="I935" s="26"/>
      <c r="J935" s="26"/>
      <c r="K935" s="2"/>
      <c r="L935" s="2"/>
      <c r="M935" s="2"/>
      <c r="N935" s="2"/>
      <c r="O935" s="2"/>
      <c r="P935" s="2"/>
      <c r="Q935" s="2"/>
      <c r="R935" s="2"/>
      <c r="S935" s="2"/>
      <c r="T935" s="2"/>
      <c r="U935" s="2"/>
      <c r="V935" s="2"/>
      <c r="W935" s="2"/>
      <c r="X935" s="2"/>
      <c r="Y935" s="2"/>
    </row>
    <row r="936">
      <c r="A936" s="25"/>
      <c r="B936" s="25"/>
      <c r="C936" s="25"/>
      <c r="D936" s="26"/>
      <c r="E936" s="26"/>
      <c r="F936" s="25"/>
      <c r="G936" s="25"/>
      <c r="H936" s="25"/>
      <c r="I936" s="26"/>
      <c r="J936" s="26"/>
      <c r="K936" s="2"/>
      <c r="L936" s="2"/>
      <c r="M936" s="2"/>
      <c r="N936" s="2"/>
      <c r="O936" s="2"/>
      <c r="P936" s="2"/>
      <c r="Q936" s="2"/>
      <c r="R936" s="2"/>
      <c r="S936" s="2"/>
      <c r="T936" s="2"/>
      <c r="U936" s="2"/>
      <c r="V936" s="2"/>
      <c r="W936" s="2"/>
      <c r="X936" s="2"/>
      <c r="Y936" s="2"/>
    </row>
    <row r="937">
      <c r="A937" s="25"/>
      <c r="B937" s="25"/>
      <c r="C937" s="25"/>
      <c r="D937" s="26"/>
      <c r="E937" s="26"/>
      <c r="F937" s="25"/>
      <c r="G937" s="25"/>
      <c r="H937" s="25"/>
      <c r="I937" s="26"/>
      <c r="J937" s="26"/>
      <c r="K937" s="2"/>
      <c r="L937" s="2"/>
      <c r="M937" s="2"/>
      <c r="N937" s="2"/>
      <c r="O937" s="2"/>
      <c r="P937" s="2"/>
      <c r="Q937" s="2"/>
      <c r="R937" s="2"/>
      <c r="S937" s="2"/>
      <c r="T937" s="2"/>
      <c r="U937" s="2"/>
      <c r="V937" s="2"/>
      <c r="W937" s="2"/>
      <c r="X937" s="2"/>
      <c r="Y937" s="2"/>
    </row>
    <row r="938">
      <c r="A938" s="25"/>
      <c r="B938" s="25"/>
      <c r="C938" s="25"/>
      <c r="D938" s="26"/>
      <c r="E938" s="26"/>
      <c r="F938" s="25"/>
      <c r="G938" s="25"/>
      <c r="H938" s="25"/>
      <c r="I938" s="26"/>
      <c r="J938" s="26"/>
      <c r="K938" s="2"/>
      <c r="L938" s="2"/>
      <c r="M938" s="2"/>
      <c r="N938" s="2"/>
      <c r="O938" s="2"/>
      <c r="P938" s="2"/>
      <c r="Q938" s="2"/>
      <c r="R938" s="2"/>
      <c r="S938" s="2"/>
      <c r="T938" s="2"/>
      <c r="U938" s="2"/>
      <c r="V938" s="2"/>
      <c r="W938" s="2"/>
      <c r="X938" s="2"/>
      <c r="Y938" s="2"/>
    </row>
    <row r="939">
      <c r="A939" s="25"/>
      <c r="B939" s="25"/>
      <c r="C939" s="25"/>
      <c r="D939" s="26"/>
      <c r="E939" s="26"/>
      <c r="F939" s="25"/>
      <c r="G939" s="25"/>
      <c r="H939" s="25"/>
      <c r="I939" s="26"/>
      <c r="J939" s="26"/>
      <c r="K939" s="2"/>
      <c r="L939" s="2"/>
      <c r="M939" s="2"/>
      <c r="N939" s="2"/>
      <c r="O939" s="2"/>
      <c r="P939" s="2"/>
      <c r="Q939" s="2"/>
      <c r="R939" s="2"/>
      <c r="S939" s="2"/>
      <c r="T939" s="2"/>
      <c r="U939" s="2"/>
      <c r="V939" s="2"/>
      <c r="W939" s="2"/>
      <c r="X939" s="2"/>
      <c r="Y939" s="2"/>
    </row>
    <row r="940">
      <c r="A940" s="25"/>
      <c r="B940" s="25"/>
      <c r="C940" s="25"/>
      <c r="D940" s="26"/>
      <c r="E940" s="26"/>
      <c r="F940" s="25"/>
      <c r="G940" s="25"/>
      <c r="H940" s="25"/>
      <c r="I940" s="26"/>
      <c r="J940" s="26"/>
      <c r="K940" s="2"/>
      <c r="L940" s="2"/>
      <c r="M940" s="2"/>
      <c r="N940" s="2"/>
      <c r="O940" s="2"/>
      <c r="P940" s="2"/>
      <c r="Q940" s="2"/>
      <c r="R940" s="2"/>
      <c r="S940" s="2"/>
      <c r="T940" s="2"/>
      <c r="U940" s="2"/>
      <c r="V940" s="2"/>
      <c r="W940" s="2"/>
      <c r="X940" s="2"/>
      <c r="Y940" s="2"/>
    </row>
    <row r="941">
      <c r="A941" s="25"/>
      <c r="B941" s="25"/>
      <c r="C941" s="25"/>
      <c r="D941" s="26"/>
      <c r="E941" s="26"/>
      <c r="F941" s="25"/>
      <c r="G941" s="25"/>
      <c r="H941" s="25"/>
      <c r="I941" s="26"/>
      <c r="J941" s="26"/>
      <c r="K941" s="2"/>
      <c r="L941" s="2"/>
      <c r="M941" s="2"/>
      <c r="N941" s="2"/>
      <c r="O941" s="2"/>
      <c r="P941" s="2"/>
      <c r="Q941" s="2"/>
      <c r="R941" s="2"/>
      <c r="S941" s="2"/>
      <c r="T941" s="2"/>
      <c r="U941" s="2"/>
      <c r="V941" s="2"/>
      <c r="W941" s="2"/>
      <c r="X941" s="2"/>
      <c r="Y941" s="2"/>
    </row>
    <row r="942">
      <c r="A942" s="25"/>
      <c r="B942" s="25"/>
      <c r="C942" s="25"/>
      <c r="D942" s="26"/>
      <c r="E942" s="26"/>
      <c r="F942" s="25"/>
      <c r="G942" s="25"/>
      <c r="H942" s="25"/>
      <c r="I942" s="26"/>
      <c r="J942" s="26"/>
      <c r="K942" s="2"/>
      <c r="L942" s="2"/>
      <c r="M942" s="2"/>
      <c r="N942" s="2"/>
      <c r="O942" s="2"/>
      <c r="P942" s="2"/>
      <c r="Q942" s="2"/>
      <c r="R942" s="2"/>
      <c r="S942" s="2"/>
      <c r="T942" s="2"/>
      <c r="U942" s="2"/>
      <c r="V942" s="2"/>
      <c r="W942" s="2"/>
      <c r="X942" s="2"/>
      <c r="Y942" s="2"/>
    </row>
    <row r="943">
      <c r="A943" s="25"/>
      <c r="B943" s="25"/>
      <c r="C943" s="25"/>
      <c r="D943" s="26"/>
      <c r="E943" s="26"/>
      <c r="F943" s="25"/>
      <c r="G943" s="25"/>
      <c r="H943" s="25"/>
      <c r="I943" s="26"/>
      <c r="J943" s="26"/>
      <c r="K943" s="2"/>
      <c r="L943" s="2"/>
      <c r="M943" s="2"/>
      <c r="N943" s="2"/>
      <c r="O943" s="2"/>
      <c r="P943" s="2"/>
      <c r="Q943" s="2"/>
      <c r="R943" s="2"/>
      <c r="S943" s="2"/>
      <c r="T943" s="2"/>
      <c r="U943" s="2"/>
      <c r="V943" s="2"/>
      <c r="W943" s="2"/>
      <c r="X943" s="2"/>
      <c r="Y943" s="2"/>
    </row>
    <row r="944">
      <c r="A944" s="25"/>
      <c r="B944" s="25"/>
      <c r="C944" s="25"/>
      <c r="D944" s="26"/>
      <c r="E944" s="26"/>
      <c r="F944" s="25"/>
      <c r="G944" s="25"/>
      <c r="H944" s="25"/>
      <c r="I944" s="26"/>
      <c r="J944" s="26"/>
      <c r="K944" s="2"/>
      <c r="L944" s="2"/>
      <c r="M944" s="2"/>
      <c r="N944" s="2"/>
      <c r="O944" s="2"/>
      <c r="P944" s="2"/>
      <c r="Q944" s="2"/>
      <c r="R944" s="2"/>
      <c r="S944" s="2"/>
      <c r="T944" s="2"/>
      <c r="U944" s="2"/>
      <c r="V944" s="2"/>
      <c r="W944" s="2"/>
      <c r="X944" s="2"/>
      <c r="Y944" s="2"/>
    </row>
    <row r="945">
      <c r="A945" s="25"/>
      <c r="B945" s="25"/>
      <c r="C945" s="25"/>
      <c r="D945" s="26"/>
      <c r="E945" s="26"/>
      <c r="F945" s="25"/>
      <c r="G945" s="25"/>
      <c r="H945" s="25"/>
      <c r="I945" s="26"/>
      <c r="J945" s="26"/>
      <c r="K945" s="2"/>
      <c r="L945" s="2"/>
      <c r="M945" s="2"/>
      <c r="N945" s="2"/>
      <c r="O945" s="2"/>
      <c r="P945" s="2"/>
      <c r="Q945" s="2"/>
      <c r="R945" s="2"/>
      <c r="S945" s="2"/>
      <c r="T945" s="2"/>
      <c r="U945" s="2"/>
      <c r="V945" s="2"/>
      <c r="W945" s="2"/>
      <c r="X945" s="2"/>
      <c r="Y945" s="2"/>
    </row>
    <row r="946">
      <c r="A946" s="25"/>
      <c r="B946" s="25"/>
      <c r="C946" s="25"/>
      <c r="D946" s="26"/>
      <c r="E946" s="26"/>
      <c r="F946" s="25"/>
      <c r="G946" s="25"/>
      <c r="H946" s="25"/>
      <c r="I946" s="26"/>
      <c r="J946" s="26"/>
      <c r="K946" s="2"/>
      <c r="L946" s="2"/>
      <c r="M946" s="2"/>
      <c r="N946" s="2"/>
      <c r="O946" s="2"/>
      <c r="P946" s="2"/>
      <c r="Q946" s="2"/>
      <c r="R946" s="2"/>
      <c r="S946" s="2"/>
      <c r="T946" s="2"/>
      <c r="U946" s="2"/>
      <c r="V946" s="2"/>
      <c r="W946" s="2"/>
      <c r="X946" s="2"/>
      <c r="Y946" s="2"/>
    </row>
    <row r="947">
      <c r="A947" s="25"/>
      <c r="B947" s="25"/>
      <c r="C947" s="25"/>
      <c r="D947" s="26"/>
      <c r="E947" s="26"/>
      <c r="F947" s="25"/>
      <c r="G947" s="25"/>
      <c r="H947" s="25"/>
      <c r="I947" s="26"/>
      <c r="J947" s="26"/>
      <c r="K947" s="2"/>
      <c r="L947" s="2"/>
      <c r="M947" s="2"/>
      <c r="N947" s="2"/>
      <c r="O947" s="2"/>
      <c r="P947" s="2"/>
      <c r="Q947" s="2"/>
      <c r="R947" s="2"/>
      <c r="S947" s="2"/>
      <c r="T947" s="2"/>
      <c r="U947" s="2"/>
      <c r="V947" s="2"/>
      <c r="W947" s="2"/>
      <c r="X947" s="2"/>
      <c r="Y947" s="2"/>
    </row>
    <row r="948">
      <c r="A948" s="25"/>
      <c r="B948" s="25"/>
      <c r="C948" s="25"/>
      <c r="D948" s="26"/>
      <c r="E948" s="26"/>
      <c r="F948" s="25"/>
      <c r="G948" s="25"/>
      <c r="H948" s="25"/>
      <c r="I948" s="26"/>
      <c r="J948" s="26"/>
      <c r="K948" s="2"/>
      <c r="L948" s="2"/>
      <c r="M948" s="2"/>
      <c r="N948" s="2"/>
      <c r="O948" s="2"/>
      <c r="P948" s="2"/>
      <c r="Q948" s="2"/>
      <c r="R948" s="2"/>
      <c r="S948" s="2"/>
      <c r="T948" s="2"/>
      <c r="U948" s="2"/>
      <c r="V948" s="2"/>
      <c r="W948" s="2"/>
      <c r="X948" s="2"/>
      <c r="Y948" s="2"/>
    </row>
    <row r="949">
      <c r="A949" s="25"/>
      <c r="B949" s="25"/>
      <c r="C949" s="25"/>
      <c r="D949" s="26"/>
      <c r="E949" s="26"/>
      <c r="F949" s="25"/>
      <c r="G949" s="25"/>
      <c r="H949" s="25"/>
      <c r="I949" s="26"/>
      <c r="J949" s="26"/>
      <c r="K949" s="2"/>
      <c r="L949" s="2"/>
      <c r="M949" s="2"/>
      <c r="N949" s="2"/>
      <c r="O949" s="2"/>
      <c r="P949" s="2"/>
      <c r="Q949" s="2"/>
      <c r="R949" s="2"/>
      <c r="S949" s="2"/>
      <c r="T949" s="2"/>
      <c r="U949" s="2"/>
      <c r="V949" s="2"/>
      <c r="W949" s="2"/>
      <c r="X949" s="2"/>
      <c r="Y949" s="2"/>
    </row>
    <row r="950">
      <c r="A950" s="25"/>
      <c r="B950" s="25"/>
      <c r="C950" s="25"/>
      <c r="D950" s="26"/>
      <c r="E950" s="26"/>
      <c r="F950" s="25"/>
      <c r="G950" s="25"/>
      <c r="H950" s="25"/>
      <c r="I950" s="26"/>
      <c r="J950" s="26"/>
      <c r="K950" s="2"/>
      <c r="L950" s="2"/>
      <c r="M950" s="2"/>
      <c r="N950" s="2"/>
      <c r="O950" s="2"/>
      <c r="P950" s="2"/>
      <c r="Q950" s="2"/>
      <c r="R950" s="2"/>
      <c r="S950" s="2"/>
      <c r="T950" s="2"/>
      <c r="U950" s="2"/>
      <c r="V950" s="2"/>
      <c r="W950" s="2"/>
      <c r="X950" s="2"/>
      <c r="Y950" s="2"/>
    </row>
    <row r="951">
      <c r="A951" s="25"/>
      <c r="B951" s="25"/>
      <c r="C951" s="25"/>
      <c r="D951" s="26"/>
      <c r="E951" s="26"/>
      <c r="F951" s="25"/>
      <c r="G951" s="25"/>
      <c r="H951" s="25"/>
      <c r="I951" s="26"/>
      <c r="J951" s="26"/>
      <c r="K951" s="2"/>
      <c r="L951" s="2"/>
      <c r="M951" s="2"/>
      <c r="N951" s="2"/>
      <c r="O951" s="2"/>
      <c r="P951" s="2"/>
      <c r="Q951" s="2"/>
      <c r="R951" s="2"/>
      <c r="S951" s="2"/>
      <c r="T951" s="2"/>
      <c r="U951" s="2"/>
      <c r="V951" s="2"/>
      <c r="W951" s="2"/>
      <c r="X951" s="2"/>
      <c r="Y951" s="2"/>
    </row>
    <row r="952">
      <c r="A952" s="25"/>
      <c r="B952" s="25"/>
      <c r="C952" s="25"/>
      <c r="D952" s="26"/>
      <c r="E952" s="26"/>
      <c r="F952" s="25"/>
      <c r="G952" s="25"/>
      <c r="H952" s="25"/>
      <c r="I952" s="26"/>
      <c r="J952" s="26"/>
      <c r="K952" s="2"/>
      <c r="L952" s="2"/>
      <c r="M952" s="2"/>
      <c r="N952" s="2"/>
      <c r="O952" s="2"/>
      <c r="P952" s="2"/>
      <c r="Q952" s="2"/>
      <c r="R952" s="2"/>
      <c r="S952" s="2"/>
      <c r="T952" s="2"/>
      <c r="U952" s="2"/>
      <c r="V952" s="2"/>
      <c r="W952" s="2"/>
      <c r="X952" s="2"/>
      <c r="Y952" s="2"/>
    </row>
    <row r="953">
      <c r="A953" s="25"/>
      <c r="B953" s="25"/>
      <c r="C953" s="25"/>
      <c r="D953" s="26"/>
      <c r="E953" s="26"/>
      <c r="F953" s="25"/>
      <c r="G953" s="25"/>
      <c r="H953" s="25"/>
      <c r="I953" s="26"/>
      <c r="J953" s="26"/>
      <c r="K953" s="2"/>
      <c r="L953" s="2"/>
      <c r="M953" s="2"/>
      <c r="N953" s="2"/>
      <c r="O953" s="2"/>
      <c r="P953" s="2"/>
      <c r="Q953" s="2"/>
      <c r="R953" s="2"/>
      <c r="S953" s="2"/>
      <c r="T953" s="2"/>
      <c r="U953" s="2"/>
      <c r="V953" s="2"/>
      <c r="W953" s="2"/>
      <c r="X953" s="2"/>
      <c r="Y953" s="2"/>
    </row>
    <row r="954">
      <c r="A954" s="25"/>
      <c r="B954" s="25"/>
      <c r="C954" s="25"/>
      <c r="D954" s="26"/>
      <c r="E954" s="26"/>
      <c r="F954" s="25"/>
      <c r="G954" s="25"/>
      <c r="H954" s="25"/>
      <c r="I954" s="26"/>
      <c r="J954" s="26"/>
      <c r="K954" s="2"/>
      <c r="L954" s="2"/>
      <c r="M954" s="2"/>
      <c r="N954" s="2"/>
      <c r="O954" s="2"/>
      <c r="P954" s="2"/>
      <c r="Q954" s="2"/>
      <c r="R954" s="2"/>
      <c r="S954" s="2"/>
      <c r="T954" s="2"/>
      <c r="U954" s="2"/>
      <c r="V954" s="2"/>
      <c r="W954" s="2"/>
      <c r="X954" s="2"/>
      <c r="Y954" s="2"/>
    </row>
    <row r="955">
      <c r="A955" s="25"/>
      <c r="B955" s="25"/>
      <c r="C955" s="25"/>
      <c r="D955" s="26"/>
      <c r="E955" s="26"/>
      <c r="F955" s="25"/>
      <c r="G955" s="25"/>
      <c r="H955" s="25"/>
      <c r="I955" s="26"/>
      <c r="J955" s="26"/>
      <c r="K955" s="2"/>
      <c r="L955" s="2"/>
      <c r="M955" s="2"/>
      <c r="N955" s="2"/>
      <c r="O955" s="2"/>
      <c r="P955" s="2"/>
      <c r="Q955" s="2"/>
      <c r="R955" s="2"/>
      <c r="S955" s="2"/>
      <c r="T955" s="2"/>
      <c r="U955" s="2"/>
      <c r="V955" s="2"/>
      <c r="W955" s="2"/>
      <c r="X955" s="2"/>
      <c r="Y955" s="2"/>
    </row>
    <row r="956">
      <c r="A956" s="25"/>
      <c r="B956" s="25"/>
      <c r="C956" s="25"/>
      <c r="D956" s="26"/>
      <c r="E956" s="26"/>
      <c r="F956" s="25"/>
      <c r="G956" s="25"/>
      <c r="H956" s="25"/>
      <c r="I956" s="26"/>
      <c r="J956" s="26"/>
      <c r="K956" s="2"/>
      <c r="L956" s="2"/>
      <c r="M956" s="2"/>
      <c r="N956" s="2"/>
      <c r="O956" s="2"/>
      <c r="P956" s="2"/>
      <c r="Q956" s="2"/>
      <c r="R956" s="2"/>
      <c r="S956" s="2"/>
      <c r="T956" s="2"/>
      <c r="U956" s="2"/>
      <c r="V956" s="2"/>
      <c r="W956" s="2"/>
      <c r="X956" s="2"/>
      <c r="Y956" s="2"/>
    </row>
    <row r="957">
      <c r="A957" s="25"/>
      <c r="B957" s="25"/>
      <c r="C957" s="25"/>
      <c r="D957" s="26"/>
      <c r="E957" s="26"/>
      <c r="F957" s="25"/>
      <c r="G957" s="25"/>
      <c r="H957" s="25"/>
      <c r="I957" s="26"/>
      <c r="J957" s="26"/>
      <c r="K957" s="2"/>
      <c r="L957" s="2"/>
      <c r="M957" s="2"/>
      <c r="N957" s="2"/>
      <c r="O957" s="2"/>
      <c r="P957" s="2"/>
      <c r="Q957" s="2"/>
      <c r="R957" s="2"/>
      <c r="S957" s="2"/>
      <c r="T957" s="2"/>
      <c r="U957" s="2"/>
      <c r="V957" s="2"/>
      <c r="W957" s="2"/>
      <c r="X957" s="2"/>
      <c r="Y957" s="2"/>
    </row>
    <row r="958">
      <c r="A958" s="25"/>
      <c r="B958" s="25"/>
      <c r="C958" s="25"/>
      <c r="D958" s="26"/>
      <c r="E958" s="26"/>
      <c r="F958" s="25"/>
      <c r="G958" s="25"/>
      <c r="H958" s="25"/>
      <c r="I958" s="26"/>
      <c r="J958" s="26"/>
      <c r="K958" s="2"/>
      <c r="L958" s="2"/>
      <c r="M958" s="2"/>
      <c r="N958" s="2"/>
      <c r="O958" s="2"/>
      <c r="P958" s="2"/>
      <c r="Q958" s="2"/>
      <c r="R958" s="2"/>
      <c r="S958" s="2"/>
      <c r="T958" s="2"/>
      <c r="U958" s="2"/>
      <c r="V958" s="2"/>
      <c r="W958" s="2"/>
      <c r="X958" s="2"/>
      <c r="Y958" s="2"/>
    </row>
    <row r="959">
      <c r="A959" s="25"/>
      <c r="B959" s="25"/>
      <c r="C959" s="25"/>
      <c r="D959" s="26"/>
      <c r="E959" s="26"/>
      <c r="F959" s="25"/>
      <c r="G959" s="25"/>
      <c r="H959" s="25"/>
      <c r="I959" s="26"/>
      <c r="J959" s="26"/>
      <c r="K959" s="2"/>
      <c r="L959" s="2"/>
      <c r="M959" s="2"/>
      <c r="N959" s="2"/>
      <c r="O959" s="2"/>
      <c r="P959" s="2"/>
      <c r="Q959" s="2"/>
      <c r="R959" s="2"/>
      <c r="S959" s="2"/>
      <c r="T959" s="2"/>
      <c r="U959" s="2"/>
      <c r="V959" s="2"/>
      <c r="W959" s="2"/>
      <c r="X959" s="2"/>
      <c r="Y959" s="2"/>
    </row>
    <row r="960">
      <c r="A960" s="25"/>
      <c r="B960" s="25"/>
      <c r="C960" s="25"/>
      <c r="D960" s="26"/>
      <c r="E960" s="26"/>
      <c r="F960" s="25"/>
      <c r="G960" s="25"/>
      <c r="H960" s="25"/>
      <c r="I960" s="26"/>
      <c r="J960" s="26"/>
      <c r="K960" s="2"/>
      <c r="L960" s="2"/>
      <c r="M960" s="2"/>
      <c r="N960" s="2"/>
      <c r="O960" s="2"/>
      <c r="P960" s="2"/>
      <c r="Q960" s="2"/>
      <c r="R960" s="2"/>
      <c r="S960" s="2"/>
      <c r="T960" s="2"/>
      <c r="U960" s="2"/>
      <c r="V960" s="2"/>
      <c r="W960" s="2"/>
      <c r="X960" s="2"/>
      <c r="Y960" s="2"/>
    </row>
    <row r="961">
      <c r="A961" s="25"/>
      <c r="B961" s="25"/>
      <c r="C961" s="25"/>
      <c r="D961" s="26"/>
      <c r="E961" s="26"/>
      <c r="F961" s="25"/>
      <c r="G961" s="25"/>
      <c r="H961" s="25"/>
      <c r="I961" s="26"/>
      <c r="J961" s="26"/>
      <c r="K961" s="2"/>
      <c r="L961" s="2"/>
      <c r="M961" s="2"/>
      <c r="N961" s="2"/>
      <c r="O961" s="2"/>
      <c r="P961" s="2"/>
      <c r="Q961" s="2"/>
      <c r="R961" s="2"/>
      <c r="S961" s="2"/>
      <c r="T961" s="2"/>
      <c r="U961" s="2"/>
      <c r="V961" s="2"/>
      <c r="W961" s="2"/>
      <c r="X961" s="2"/>
      <c r="Y961" s="2"/>
    </row>
    <row r="962">
      <c r="A962" s="25"/>
      <c r="B962" s="25"/>
      <c r="C962" s="25"/>
      <c r="D962" s="26"/>
      <c r="E962" s="26"/>
      <c r="F962" s="25"/>
      <c r="G962" s="25"/>
      <c r="H962" s="25"/>
      <c r="I962" s="26"/>
      <c r="J962" s="26"/>
      <c r="K962" s="2"/>
      <c r="L962" s="2"/>
      <c r="M962" s="2"/>
      <c r="N962" s="2"/>
      <c r="O962" s="2"/>
      <c r="P962" s="2"/>
      <c r="Q962" s="2"/>
      <c r="R962" s="2"/>
      <c r="S962" s="2"/>
      <c r="T962" s="2"/>
      <c r="U962" s="2"/>
      <c r="V962" s="2"/>
      <c r="W962" s="2"/>
      <c r="X962" s="2"/>
      <c r="Y962" s="2"/>
    </row>
    <row r="963">
      <c r="A963" s="25"/>
      <c r="B963" s="25"/>
      <c r="C963" s="25"/>
      <c r="D963" s="26"/>
      <c r="E963" s="26"/>
      <c r="F963" s="25"/>
      <c r="G963" s="25"/>
      <c r="H963" s="25"/>
      <c r="I963" s="26"/>
      <c r="J963" s="26"/>
      <c r="K963" s="2"/>
      <c r="L963" s="2"/>
      <c r="M963" s="2"/>
      <c r="N963" s="2"/>
      <c r="O963" s="2"/>
      <c r="P963" s="2"/>
      <c r="Q963" s="2"/>
      <c r="R963" s="2"/>
      <c r="S963" s="2"/>
      <c r="T963" s="2"/>
      <c r="U963" s="2"/>
      <c r="V963" s="2"/>
      <c r="W963" s="2"/>
      <c r="X963" s="2"/>
      <c r="Y963" s="2"/>
    </row>
    <row r="964">
      <c r="A964" s="25"/>
      <c r="B964" s="25"/>
      <c r="C964" s="25"/>
      <c r="D964" s="26"/>
      <c r="E964" s="26"/>
      <c r="F964" s="25"/>
      <c r="G964" s="25"/>
      <c r="H964" s="25"/>
      <c r="I964" s="26"/>
      <c r="J964" s="26"/>
      <c r="K964" s="2"/>
      <c r="L964" s="2"/>
      <c r="M964" s="2"/>
      <c r="N964" s="2"/>
      <c r="O964" s="2"/>
      <c r="P964" s="2"/>
      <c r="Q964" s="2"/>
      <c r="R964" s="2"/>
      <c r="S964" s="2"/>
      <c r="T964" s="2"/>
      <c r="U964" s="2"/>
      <c r="V964" s="2"/>
      <c r="W964" s="2"/>
      <c r="X964" s="2"/>
      <c r="Y964" s="2"/>
    </row>
    <row r="965">
      <c r="A965" s="25"/>
      <c r="B965" s="25"/>
      <c r="C965" s="25"/>
      <c r="D965" s="26"/>
      <c r="E965" s="26"/>
      <c r="F965" s="25"/>
      <c r="G965" s="25"/>
      <c r="H965" s="25"/>
      <c r="I965" s="26"/>
      <c r="J965" s="26"/>
      <c r="K965" s="2"/>
      <c r="L965" s="2"/>
      <c r="M965" s="2"/>
      <c r="N965" s="2"/>
      <c r="O965" s="2"/>
      <c r="P965" s="2"/>
      <c r="Q965" s="2"/>
      <c r="R965" s="2"/>
      <c r="S965" s="2"/>
      <c r="T965" s="2"/>
      <c r="U965" s="2"/>
      <c r="V965" s="2"/>
      <c r="W965" s="2"/>
      <c r="X965" s="2"/>
      <c r="Y965" s="2"/>
    </row>
    <row r="966">
      <c r="A966" s="25"/>
      <c r="B966" s="25"/>
      <c r="C966" s="25"/>
      <c r="D966" s="26"/>
      <c r="E966" s="26"/>
      <c r="F966" s="25"/>
      <c r="G966" s="25"/>
      <c r="H966" s="25"/>
      <c r="I966" s="26"/>
      <c r="J966" s="26"/>
      <c r="K966" s="2"/>
      <c r="L966" s="2"/>
      <c r="M966" s="2"/>
      <c r="N966" s="2"/>
      <c r="O966" s="2"/>
      <c r="P966" s="2"/>
      <c r="Q966" s="2"/>
      <c r="R966" s="2"/>
      <c r="S966" s="2"/>
      <c r="T966" s="2"/>
      <c r="U966" s="2"/>
      <c r="V966" s="2"/>
      <c r="W966" s="2"/>
      <c r="X966" s="2"/>
      <c r="Y966" s="2"/>
    </row>
    <row r="967">
      <c r="A967" s="25"/>
      <c r="B967" s="25"/>
      <c r="C967" s="25"/>
      <c r="D967" s="26"/>
      <c r="E967" s="26"/>
      <c r="F967" s="25"/>
      <c r="G967" s="25"/>
      <c r="H967" s="25"/>
      <c r="I967" s="26"/>
      <c r="J967" s="26"/>
      <c r="K967" s="2"/>
      <c r="L967" s="2"/>
      <c r="M967" s="2"/>
      <c r="N967" s="2"/>
      <c r="O967" s="2"/>
      <c r="P967" s="2"/>
      <c r="Q967" s="2"/>
      <c r="R967" s="2"/>
      <c r="S967" s="2"/>
      <c r="T967" s="2"/>
      <c r="U967" s="2"/>
      <c r="V967" s="2"/>
      <c r="W967" s="2"/>
      <c r="X967" s="2"/>
      <c r="Y967" s="2"/>
    </row>
    <row r="968">
      <c r="A968" s="25"/>
      <c r="B968" s="25"/>
      <c r="C968" s="25"/>
      <c r="D968" s="26"/>
      <c r="E968" s="26"/>
      <c r="F968" s="25"/>
      <c r="G968" s="25"/>
      <c r="H968" s="25"/>
      <c r="I968" s="26"/>
      <c r="J968" s="26"/>
      <c r="K968" s="2"/>
      <c r="L968" s="2"/>
      <c r="M968" s="2"/>
      <c r="N968" s="2"/>
      <c r="O968" s="2"/>
      <c r="P968" s="2"/>
      <c r="Q968" s="2"/>
      <c r="R968" s="2"/>
      <c r="S968" s="2"/>
      <c r="T968" s="2"/>
      <c r="U968" s="2"/>
      <c r="V968" s="2"/>
      <c r="W968" s="2"/>
      <c r="X968" s="2"/>
      <c r="Y968" s="2"/>
    </row>
    <row r="969">
      <c r="A969" s="25"/>
      <c r="B969" s="25"/>
      <c r="C969" s="25"/>
      <c r="D969" s="26"/>
      <c r="E969" s="26"/>
      <c r="F969" s="25"/>
      <c r="G969" s="25"/>
      <c r="H969" s="25"/>
      <c r="I969" s="26"/>
      <c r="J969" s="26"/>
      <c r="K969" s="2"/>
      <c r="L969" s="2"/>
      <c r="M969" s="2"/>
      <c r="N969" s="2"/>
      <c r="O969" s="2"/>
      <c r="P969" s="2"/>
      <c r="Q969" s="2"/>
      <c r="R969" s="2"/>
      <c r="S969" s="2"/>
      <c r="T969" s="2"/>
      <c r="U969" s="2"/>
      <c r="V969" s="2"/>
      <c r="W969" s="2"/>
      <c r="X969" s="2"/>
      <c r="Y969" s="2"/>
    </row>
    <row r="970">
      <c r="A970" s="25"/>
      <c r="B970" s="25"/>
      <c r="C970" s="25"/>
      <c r="D970" s="26"/>
      <c r="E970" s="26"/>
      <c r="F970" s="25"/>
      <c r="G970" s="25"/>
      <c r="H970" s="25"/>
      <c r="I970" s="26"/>
      <c r="J970" s="26"/>
      <c r="K970" s="2"/>
      <c r="L970" s="2"/>
      <c r="M970" s="2"/>
      <c r="N970" s="2"/>
      <c r="O970" s="2"/>
      <c r="P970" s="2"/>
      <c r="Q970" s="2"/>
      <c r="R970" s="2"/>
      <c r="S970" s="2"/>
      <c r="T970" s="2"/>
      <c r="U970" s="2"/>
      <c r="V970" s="2"/>
      <c r="W970" s="2"/>
      <c r="X970" s="2"/>
      <c r="Y970" s="2"/>
    </row>
    <row r="971">
      <c r="A971" s="25"/>
      <c r="B971" s="25"/>
      <c r="C971" s="25"/>
      <c r="D971" s="26"/>
      <c r="E971" s="26"/>
      <c r="F971" s="25"/>
      <c r="G971" s="25"/>
      <c r="H971" s="25"/>
      <c r="I971" s="26"/>
      <c r="J971" s="26"/>
      <c r="K971" s="2"/>
      <c r="L971" s="2"/>
      <c r="M971" s="2"/>
      <c r="N971" s="2"/>
      <c r="O971" s="2"/>
      <c r="P971" s="2"/>
      <c r="Q971" s="2"/>
      <c r="R971" s="2"/>
      <c r="S971" s="2"/>
      <c r="T971" s="2"/>
      <c r="U971" s="2"/>
      <c r="V971" s="2"/>
      <c r="W971" s="2"/>
      <c r="X971" s="2"/>
      <c r="Y971" s="2"/>
    </row>
    <row r="972">
      <c r="A972" s="25"/>
      <c r="B972" s="25"/>
      <c r="C972" s="25"/>
      <c r="D972" s="26"/>
      <c r="E972" s="26"/>
      <c r="F972" s="25"/>
      <c r="G972" s="25"/>
      <c r="H972" s="25"/>
      <c r="I972" s="26"/>
      <c r="J972" s="26"/>
      <c r="K972" s="2"/>
      <c r="L972" s="2"/>
      <c r="M972" s="2"/>
      <c r="N972" s="2"/>
      <c r="O972" s="2"/>
      <c r="P972" s="2"/>
      <c r="Q972" s="2"/>
      <c r="R972" s="2"/>
      <c r="S972" s="2"/>
      <c r="T972" s="2"/>
      <c r="U972" s="2"/>
      <c r="V972" s="2"/>
      <c r="W972" s="2"/>
      <c r="X972" s="2"/>
      <c r="Y972" s="2"/>
    </row>
    <row r="973">
      <c r="A973" s="25"/>
      <c r="B973" s="25"/>
      <c r="C973" s="25"/>
      <c r="D973" s="26"/>
      <c r="E973" s="26"/>
      <c r="F973" s="25"/>
      <c r="G973" s="25"/>
      <c r="H973" s="25"/>
      <c r="I973" s="26"/>
      <c r="J973" s="26"/>
      <c r="K973" s="2"/>
      <c r="L973" s="2"/>
      <c r="M973" s="2"/>
      <c r="N973" s="2"/>
      <c r="O973" s="2"/>
      <c r="P973" s="2"/>
      <c r="Q973" s="2"/>
      <c r="R973" s="2"/>
      <c r="S973" s="2"/>
      <c r="T973" s="2"/>
      <c r="U973" s="2"/>
      <c r="V973" s="2"/>
      <c r="W973" s="2"/>
      <c r="X973" s="2"/>
      <c r="Y973" s="2"/>
    </row>
    <row r="974">
      <c r="A974" s="25"/>
      <c r="B974" s="25"/>
      <c r="C974" s="25"/>
      <c r="D974" s="26"/>
      <c r="E974" s="26"/>
      <c r="F974" s="25"/>
      <c r="G974" s="25"/>
      <c r="H974" s="25"/>
      <c r="I974" s="26"/>
      <c r="J974" s="26"/>
      <c r="K974" s="2"/>
      <c r="L974" s="2"/>
      <c r="M974" s="2"/>
      <c r="N974" s="2"/>
      <c r="O974" s="2"/>
      <c r="P974" s="2"/>
      <c r="Q974" s="2"/>
      <c r="R974" s="2"/>
      <c r="S974" s="2"/>
      <c r="T974" s="2"/>
      <c r="U974" s="2"/>
      <c r="V974" s="2"/>
      <c r="W974" s="2"/>
      <c r="X974" s="2"/>
      <c r="Y974" s="2"/>
    </row>
    <row r="975">
      <c r="A975" s="25"/>
      <c r="B975" s="25"/>
      <c r="C975" s="25"/>
      <c r="D975" s="26"/>
      <c r="E975" s="26"/>
      <c r="F975" s="25"/>
      <c r="G975" s="25"/>
      <c r="H975" s="25"/>
      <c r="I975" s="26"/>
      <c r="J975" s="26"/>
      <c r="K975" s="2"/>
      <c r="L975" s="2"/>
      <c r="M975" s="2"/>
      <c r="N975" s="2"/>
      <c r="O975" s="2"/>
      <c r="P975" s="2"/>
      <c r="Q975" s="2"/>
      <c r="R975" s="2"/>
      <c r="S975" s="2"/>
      <c r="T975" s="2"/>
      <c r="U975" s="2"/>
      <c r="V975" s="2"/>
      <c r="W975" s="2"/>
      <c r="X975" s="2"/>
      <c r="Y975" s="2"/>
    </row>
    <row r="976">
      <c r="A976" s="25"/>
      <c r="B976" s="25"/>
      <c r="C976" s="25"/>
      <c r="D976" s="26"/>
      <c r="E976" s="26"/>
      <c r="F976" s="25"/>
      <c r="G976" s="25"/>
      <c r="H976" s="25"/>
      <c r="I976" s="26"/>
      <c r="J976" s="26"/>
      <c r="K976" s="2"/>
      <c r="L976" s="2"/>
      <c r="M976" s="2"/>
      <c r="N976" s="2"/>
      <c r="O976" s="2"/>
      <c r="P976" s="2"/>
      <c r="Q976" s="2"/>
      <c r="R976" s="2"/>
      <c r="S976" s="2"/>
      <c r="T976" s="2"/>
      <c r="U976" s="2"/>
      <c r="V976" s="2"/>
      <c r="W976" s="2"/>
      <c r="X976" s="2"/>
      <c r="Y976" s="2"/>
    </row>
    <row r="977">
      <c r="A977" s="25"/>
      <c r="B977" s="25"/>
      <c r="C977" s="25"/>
      <c r="D977" s="26"/>
      <c r="E977" s="26"/>
      <c r="F977" s="25"/>
      <c r="G977" s="25"/>
      <c r="H977" s="25"/>
      <c r="I977" s="26"/>
      <c r="J977" s="26"/>
      <c r="K977" s="2"/>
      <c r="L977" s="2"/>
      <c r="M977" s="2"/>
      <c r="N977" s="2"/>
      <c r="O977" s="2"/>
      <c r="P977" s="2"/>
      <c r="Q977" s="2"/>
      <c r="R977" s="2"/>
      <c r="S977" s="2"/>
      <c r="T977" s="2"/>
      <c r="U977" s="2"/>
      <c r="V977" s="2"/>
      <c r="W977" s="2"/>
      <c r="X977" s="2"/>
      <c r="Y977" s="2"/>
    </row>
    <row r="978">
      <c r="A978" s="25"/>
      <c r="B978" s="25"/>
      <c r="C978" s="25"/>
      <c r="D978" s="26"/>
      <c r="E978" s="26"/>
      <c r="F978" s="25"/>
      <c r="G978" s="25"/>
      <c r="H978" s="25"/>
      <c r="I978" s="26"/>
      <c r="J978" s="26"/>
      <c r="K978" s="2"/>
      <c r="L978" s="2"/>
      <c r="M978" s="2"/>
      <c r="N978" s="2"/>
      <c r="O978" s="2"/>
      <c r="P978" s="2"/>
      <c r="Q978" s="2"/>
      <c r="R978" s="2"/>
      <c r="S978" s="2"/>
      <c r="T978" s="2"/>
      <c r="U978" s="2"/>
      <c r="V978" s="2"/>
      <c r="W978" s="2"/>
      <c r="X978" s="2"/>
      <c r="Y978" s="2"/>
    </row>
    <row r="979">
      <c r="A979" s="25"/>
      <c r="B979" s="25"/>
      <c r="C979" s="25"/>
      <c r="D979" s="26"/>
      <c r="E979" s="26"/>
      <c r="F979" s="25"/>
      <c r="G979" s="25"/>
      <c r="H979" s="25"/>
      <c r="I979" s="26"/>
      <c r="J979" s="26"/>
      <c r="K979" s="2"/>
      <c r="L979" s="2"/>
      <c r="M979" s="2"/>
      <c r="N979" s="2"/>
      <c r="O979" s="2"/>
      <c r="P979" s="2"/>
      <c r="Q979" s="2"/>
      <c r="R979" s="2"/>
      <c r="S979" s="2"/>
      <c r="T979" s="2"/>
      <c r="U979" s="2"/>
      <c r="V979" s="2"/>
      <c r="W979" s="2"/>
      <c r="X979" s="2"/>
      <c r="Y979" s="2"/>
    </row>
    <row r="980">
      <c r="A980" s="25"/>
      <c r="B980" s="25"/>
      <c r="C980" s="25"/>
      <c r="D980" s="26"/>
      <c r="E980" s="26"/>
      <c r="F980" s="25"/>
      <c r="G980" s="25"/>
      <c r="H980" s="25"/>
      <c r="I980" s="26"/>
      <c r="J980" s="26"/>
      <c r="K980" s="2"/>
      <c r="L980" s="2"/>
      <c r="M980" s="2"/>
      <c r="N980" s="2"/>
      <c r="O980" s="2"/>
      <c r="P980" s="2"/>
      <c r="Q980" s="2"/>
      <c r="R980" s="2"/>
      <c r="S980" s="2"/>
      <c r="T980" s="2"/>
      <c r="U980" s="2"/>
      <c r="V980" s="2"/>
      <c r="W980" s="2"/>
      <c r="X980" s="2"/>
      <c r="Y980" s="2"/>
    </row>
    <row r="981">
      <c r="A981" s="25"/>
      <c r="B981" s="25"/>
      <c r="C981" s="25"/>
      <c r="D981" s="26"/>
      <c r="E981" s="26"/>
      <c r="F981" s="25"/>
      <c r="G981" s="25"/>
      <c r="H981" s="25"/>
      <c r="I981" s="26"/>
      <c r="J981" s="26"/>
      <c r="K981" s="2"/>
      <c r="L981" s="2"/>
      <c r="M981" s="2"/>
      <c r="N981" s="2"/>
      <c r="O981" s="2"/>
      <c r="P981" s="2"/>
      <c r="Q981" s="2"/>
      <c r="R981" s="2"/>
      <c r="S981" s="2"/>
      <c r="T981" s="2"/>
      <c r="U981" s="2"/>
      <c r="V981" s="2"/>
      <c r="W981" s="2"/>
      <c r="X981" s="2"/>
      <c r="Y981" s="2"/>
    </row>
    <row r="982">
      <c r="A982" s="25"/>
      <c r="B982" s="25"/>
      <c r="C982" s="25"/>
      <c r="D982" s="26"/>
      <c r="E982" s="26"/>
      <c r="F982" s="25"/>
      <c r="G982" s="25"/>
      <c r="H982" s="25"/>
      <c r="I982" s="26"/>
      <c r="J982" s="26"/>
      <c r="K982" s="2"/>
      <c r="L982" s="2"/>
      <c r="M982" s="2"/>
      <c r="N982" s="2"/>
      <c r="O982" s="2"/>
      <c r="P982" s="2"/>
      <c r="Q982" s="2"/>
      <c r="R982" s="2"/>
      <c r="S982" s="2"/>
      <c r="T982" s="2"/>
      <c r="U982" s="2"/>
      <c r="V982" s="2"/>
      <c r="W982" s="2"/>
      <c r="X982" s="2"/>
      <c r="Y982" s="2"/>
    </row>
    <row r="983">
      <c r="A983" s="25"/>
      <c r="B983" s="25"/>
      <c r="C983" s="25"/>
      <c r="D983" s="26"/>
      <c r="E983" s="26"/>
      <c r="F983" s="25"/>
      <c r="G983" s="25"/>
      <c r="H983" s="25"/>
      <c r="I983" s="26"/>
      <c r="J983" s="26"/>
      <c r="K983" s="2"/>
      <c r="L983" s="2"/>
      <c r="M983" s="2"/>
      <c r="N983" s="2"/>
      <c r="O983" s="2"/>
      <c r="P983" s="2"/>
      <c r="Q983" s="2"/>
      <c r="R983" s="2"/>
      <c r="S983" s="2"/>
      <c r="T983" s="2"/>
      <c r="U983" s="2"/>
      <c r="V983" s="2"/>
      <c r="W983" s="2"/>
      <c r="X983" s="2"/>
      <c r="Y983" s="2"/>
    </row>
    <row r="984">
      <c r="A984" s="25"/>
      <c r="B984" s="25"/>
      <c r="C984" s="25"/>
      <c r="D984" s="26"/>
      <c r="E984" s="26"/>
      <c r="F984" s="25"/>
      <c r="G984" s="25"/>
      <c r="H984" s="25"/>
      <c r="I984" s="26"/>
      <c r="J984" s="26"/>
      <c r="K984" s="2"/>
      <c r="L984" s="2"/>
      <c r="M984" s="2"/>
      <c r="N984" s="2"/>
      <c r="O984" s="2"/>
      <c r="P984" s="2"/>
      <c r="Q984" s="2"/>
      <c r="R984" s="2"/>
      <c r="S984" s="2"/>
      <c r="T984" s="2"/>
      <c r="U984" s="2"/>
      <c r="V984" s="2"/>
      <c r="W984" s="2"/>
      <c r="X984" s="2"/>
      <c r="Y984" s="2"/>
    </row>
    <row r="985">
      <c r="A985" s="25"/>
      <c r="B985" s="25"/>
      <c r="C985" s="25"/>
      <c r="D985" s="26"/>
      <c r="E985" s="26"/>
      <c r="F985" s="25"/>
      <c r="G985" s="25"/>
      <c r="H985" s="25"/>
      <c r="I985" s="26"/>
      <c r="J985" s="26"/>
      <c r="K985" s="2"/>
      <c r="L985" s="2"/>
      <c r="M985" s="2"/>
      <c r="N985" s="2"/>
      <c r="O985" s="2"/>
      <c r="P985" s="2"/>
      <c r="Q985" s="2"/>
      <c r="R985" s="2"/>
      <c r="S985" s="2"/>
      <c r="T985" s="2"/>
      <c r="U985" s="2"/>
      <c r="V985" s="2"/>
      <c r="W985" s="2"/>
      <c r="X985" s="2"/>
      <c r="Y985" s="2"/>
    </row>
    <row r="986">
      <c r="A986" s="25"/>
      <c r="B986" s="25"/>
      <c r="C986" s="25"/>
      <c r="D986" s="26"/>
      <c r="E986" s="26"/>
      <c r="F986" s="25"/>
      <c r="G986" s="25"/>
      <c r="H986" s="25"/>
      <c r="I986" s="26"/>
      <c r="J986" s="26"/>
      <c r="K986" s="2"/>
      <c r="L986" s="2"/>
      <c r="M986" s="2"/>
      <c r="N986" s="2"/>
      <c r="O986" s="2"/>
      <c r="P986" s="2"/>
      <c r="Q986" s="2"/>
      <c r="R986" s="2"/>
      <c r="S986" s="2"/>
      <c r="T986" s="2"/>
      <c r="U986" s="2"/>
      <c r="V986" s="2"/>
      <c r="W986" s="2"/>
      <c r="X986" s="2"/>
      <c r="Y986" s="2"/>
    </row>
    <row r="987">
      <c r="A987" s="25"/>
      <c r="B987" s="25"/>
      <c r="C987" s="25"/>
      <c r="D987" s="26"/>
      <c r="E987" s="26"/>
      <c r="F987" s="25"/>
      <c r="G987" s="25"/>
      <c r="H987" s="25"/>
      <c r="I987" s="26"/>
      <c r="J987" s="26"/>
      <c r="K987" s="2"/>
      <c r="L987" s="2"/>
      <c r="M987" s="2"/>
      <c r="N987" s="2"/>
      <c r="O987" s="2"/>
      <c r="P987" s="2"/>
      <c r="Q987" s="2"/>
      <c r="R987" s="2"/>
      <c r="S987" s="2"/>
      <c r="T987" s="2"/>
      <c r="U987" s="2"/>
      <c r="V987" s="2"/>
      <c r="W987" s="2"/>
      <c r="X987" s="2"/>
      <c r="Y987" s="2"/>
    </row>
    <row r="988">
      <c r="A988" s="25"/>
      <c r="B988" s="25"/>
      <c r="C988" s="25"/>
      <c r="D988" s="26"/>
      <c r="E988" s="26"/>
      <c r="F988" s="25"/>
      <c r="G988" s="25"/>
      <c r="H988" s="25"/>
      <c r="I988" s="26"/>
      <c r="J988" s="26"/>
      <c r="K988" s="2"/>
      <c r="L988" s="2"/>
      <c r="M988" s="2"/>
      <c r="N988" s="2"/>
      <c r="O988" s="2"/>
      <c r="P988" s="2"/>
      <c r="Q988" s="2"/>
      <c r="R988" s="2"/>
      <c r="S988" s="2"/>
      <c r="T988" s="2"/>
      <c r="U988" s="2"/>
      <c r="V988" s="2"/>
      <c r="W988" s="2"/>
      <c r="X988" s="2"/>
      <c r="Y988" s="2"/>
    </row>
    <row r="989">
      <c r="A989" s="25"/>
      <c r="B989" s="25"/>
      <c r="C989" s="25"/>
      <c r="D989" s="26"/>
      <c r="E989" s="26"/>
      <c r="F989" s="25"/>
      <c r="G989" s="25"/>
      <c r="H989" s="25"/>
      <c r="I989" s="26"/>
      <c r="J989" s="26"/>
      <c r="K989" s="2"/>
      <c r="L989" s="2"/>
      <c r="M989" s="2"/>
      <c r="N989" s="2"/>
      <c r="O989" s="2"/>
      <c r="P989" s="2"/>
      <c r="Q989" s="2"/>
      <c r="R989" s="2"/>
      <c r="S989" s="2"/>
      <c r="T989" s="2"/>
      <c r="U989" s="2"/>
      <c r="V989" s="2"/>
      <c r="W989" s="2"/>
      <c r="X989" s="2"/>
      <c r="Y989" s="2"/>
    </row>
    <row r="990">
      <c r="A990" s="25"/>
      <c r="B990" s="25"/>
      <c r="C990" s="25"/>
      <c r="D990" s="26"/>
      <c r="E990" s="26"/>
      <c r="F990" s="25"/>
      <c r="G990" s="25"/>
      <c r="H990" s="25"/>
      <c r="I990" s="26"/>
      <c r="J990" s="26"/>
      <c r="K990" s="2"/>
      <c r="L990" s="2"/>
      <c r="M990" s="2"/>
      <c r="N990" s="2"/>
      <c r="O990" s="2"/>
      <c r="P990" s="2"/>
      <c r="Q990" s="2"/>
      <c r="R990" s="2"/>
      <c r="S990" s="2"/>
      <c r="T990" s="2"/>
      <c r="U990" s="2"/>
      <c r="V990" s="2"/>
      <c r="W990" s="2"/>
      <c r="X990" s="2"/>
      <c r="Y990" s="2"/>
    </row>
    <row r="991">
      <c r="A991" s="25"/>
      <c r="B991" s="25"/>
      <c r="C991" s="25"/>
      <c r="D991" s="26"/>
      <c r="E991" s="26"/>
      <c r="F991" s="25"/>
      <c r="G991" s="25"/>
      <c r="H991" s="25"/>
      <c r="I991" s="26"/>
      <c r="J991" s="26"/>
      <c r="K991" s="2"/>
      <c r="L991" s="2"/>
      <c r="M991" s="2"/>
      <c r="N991" s="2"/>
      <c r="O991" s="2"/>
      <c r="P991" s="2"/>
      <c r="Q991" s="2"/>
      <c r="R991" s="2"/>
      <c r="S991" s="2"/>
      <c r="T991" s="2"/>
      <c r="U991" s="2"/>
      <c r="V991" s="2"/>
      <c r="W991" s="2"/>
      <c r="X991" s="2"/>
      <c r="Y991" s="2"/>
    </row>
    <row r="992">
      <c r="A992" s="25"/>
      <c r="B992" s="25"/>
      <c r="C992" s="25"/>
      <c r="D992" s="26"/>
      <c r="E992" s="26"/>
      <c r="F992" s="25"/>
      <c r="G992" s="25"/>
      <c r="H992" s="25"/>
      <c r="I992" s="26"/>
      <c r="J992" s="26"/>
      <c r="K992" s="2"/>
      <c r="L992" s="2"/>
      <c r="M992" s="2"/>
      <c r="N992" s="2"/>
      <c r="O992" s="2"/>
      <c r="P992" s="2"/>
      <c r="Q992" s="2"/>
      <c r="R992" s="2"/>
      <c r="S992" s="2"/>
      <c r="T992" s="2"/>
      <c r="U992" s="2"/>
      <c r="V992" s="2"/>
      <c r="W992" s="2"/>
      <c r="X992" s="2"/>
      <c r="Y992" s="2"/>
    </row>
    <row r="993">
      <c r="A993" s="25"/>
      <c r="B993" s="25"/>
      <c r="C993" s="25"/>
      <c r="D993" s="26"/>
      <c r="E993" s="26"/>
      <c r="F993" s="25"/>
      <c r="G993" s="25"/>
      <c r="H993" s="25"/>
      <c r="I993" s="26"/>
      <c r="J993" s="26"/>
      <c r="K993" s="2"/>
      <c r="L993" s="2"/>
      <c r="M993" s="2"/>
      <c r="N993" s="2"/>
      <c r="O993" s="2"/>
      <c r="P993" s="2"/>
      <c r="Q993" s="2"/>
      <c r="R993" s="2"/>
      <c r="S993" s="2"/>
      <c r="T993" s="2"/>
      <c r="U993" s="2"/>
      <c r="V993" s="2"/>
      <c r="W993" s="2"/>
      <c r="X993" s="2"/>
      <c r="Y993" s="2"/>
    </row>
    <row r="994">
      <c r="A994" s="25"/>
      <c r="B994" s="25"/>
      <c r="C994" s="25"/>
      <c r="D994" s="26"/>
      <c r="E994" s="26"/>
      <c r="F994" s="25"/>
      <c r="G994" s="25"/>
      <c r="H994" s="25"/>
      <c r="I994" s="26"/>
      <c r="J994" s="26"/>
      <c r="K994" s="2"/>
      <c r="L994" s="2"/>
      <c r="M994" s="2"/>
      <c r="N994" s="2"/>
      <c r="O994" s="2"/>
      <c r="P994" s="2"/>
      <c r="Q994" s="2"/>
      <c r="R994" s="2"/>
      <c r="S994" s="2"/>
      <c r="T994" s="2"/>
      <c r="U994" s="2"/>
      <c r="V994" s="2"/>
      <c r="W994" s="2"/>
      <c r="X994" s="2"/>
      <c r="Y994" s="2"/>
    </row>
    <row r="995">
      <c r="A995" s="25"/>
      <c r="B995" s="25"/>
      <c r="C995" s="25"/>
      <c r="D995" s="26"/>
      <c r="E995" s="26"/>
      <c r="F995" s="25"/>
      <c r="G995" s="25"/>
      <c r="H995" s="25"/>
      <c r="I995" s="26"/>
      <c r="J995" s="26"/>
      <c r="K995" s="2"/>
      <c r="L995" s="2"/>
      <c r="M995" s="2"/>
      <c r="N995" s="2"/>
      <c r="O995" s="2"/>
      <c r="P995" s="2"/>
      <c r="Q995" s="2"/>
      <c r="R995" s="2"/>
      <c r="S995" s="2"/>
      <c r="T995" s="2"/>
      <c r="U995" s="2"/>
      <c r="V995" s="2"/>
      <c r="W995" s="2"/>
      <c r="X995" s="2"/>
      <c r="Y995" s="2"/>
    </row>
    <row r="996">
      <c r="A996" s="25"/>
      <c r="B996" s="25"/>
      <c r="C996" s="25"/>
      <c r="D996" s="26"/>
      <c r="E996" s="26"/>
      <c r="F996" s="25"/>
      <c r="G996" s="25"/>
      <c r="H996" s="25"/>
      <c r="I996" s="26"/>
      <c r="J996" s="26"/>
      <c r="K996" s="2"/>
      <c r="L996" s="2"/>
      <c r="M996" s="2"/>
      <c r="N996" s="2"/>
      <c r="O996" s="2"/>
      <c r="P996" s="2"/>
      <c r="Q996" s="2"/>
      <c r="R996" s="2"/>
      <c r="S996" s="2"/>
      <c r="T996" s="2"/>
      <c r="U996" s="2"/>
      <c r="V996" s="2"/>
      <c r="W996" s="2"/>
      <c r="X996" s="2"/>
      <c r="Y996" s="2"/>
    </row>
    <row r="997">
      <c r="A997" s="25"/>
      <c r="B997" s="25"/>
      <c r="C997" s="25"/>
      <c r="D997" s="26"/>
      <c r="E997" s="26"/>
      <c r="F997" s="25"/>
      <c r="G997" s="25"/>
      <c r="H997" s="25"/>
      <c r="I997" s="26"/>
      <c r="J997" s="26"/>
      <c r="K997" s="2"/>
      <c r="L997" s="2"/>
      <c r="M997" s="2"/>
      <c r="N997" s="2"/>
      <c r="O997" s="2"/>
      <c r="P997" s="2"/>
      <c r="Q997" s="2"/>
      <c r="R997" s="2"/>
      <c r="S997" s="2"/>
      <c r="T997" s="2"/>
      <c r="U997" s="2"/>
      <c r="V997" s="2"/>
      <c r="W997" s="2"/>
      <c r="X997" s="2"/>
      <c r="Y997" s="2"/>
    </row>
    <row r="998">
      <c r="A998" s="25"/>
      <c r="B998" s="25"/>
      <c r="C998" s="25"/>
      <c r="D998" s="26"/>
      <c r="E998" s="26"/>
      <c r="F998" s="25"/>
      <c r="G998" s="25"/>
      <c r="H998" s="25"/>
      <c r="I998" s="26"/>
      <c r="J998" s="26"/>
      <c r="K998" s="2"/>
      <c r="L998" s="2"/>
      <c r="M998" s="2"/>
      <c r="N998" s="2"/>
      <c r="O998" s="2"/>
      <c r="P998" s="2"/>
      <c r="Q998" s="2"/>
      <c r="R998" s="2"/>
      <c r="S998" s="2"/>
      <c r="T998" s="2"/>
      <c r="U998" s="2"/>
      <c r="V998" s="2"/>
      <c r="W998" s="2"/>
      <c r="X998" s="2"/>
      <c r="Y998" s="2"/>
    </row>
    <row r="999">
      <c r="A999" s="25"/>
      <c r="B999" s="25"/>
      <c r="C999" s="25"/>
      <c r="D999" s="26"/>
      <c r="E999" s="26"/>
      <c r="F999" s="25"/>
      <c r="G999" s="25"/>
      <c r="H999" s="25"/>
      <c r="I999" s="26"/>
      <c r="J999" s="26"/>
      <c r="K999" s="2"/>
      <c r="L999" s="2"/>
      <c r="M999" s="2"/>
      <c r="N999" s="2"/>
      <c r="O999" s="2"/>
      <c r="P999" s="2"/>
      <c r="Q999" s="2"/>
      <c r="R999" s="2"/>
      <c r="S999" s="2"/>
      <c r="T999" s="2"/>
      <c r="U999" s="2"/>
      <c r="V999" s="2"/>
      <c r="W999" s="2"/>
      <c r="X999" s="2"/>
      <c r="Y999" s="2"/>
    </row>
    <row r="1000">
      <c r="A1000" s="25"/>
      <c r="B1000" s="25"/>
      <c r="C1000" s="25"/>
      <c r="D1000" s="26"/>
      <c r="E1000" s="26"/>
      <c r="F1000" s="25"/>
      <c r="G1000" s="25"/>
      <c r="H1000" s="25"/>
      <c r="I1000" s="26"/>
      <c r="J1000" s="26"/>
      <c r="K1000" s="2"/>
      <c r="L1000" s="2"/>
      <c r="M1000" s="2"/>
      <c r="N1000" s="2"/>
      <c r="O1000" s="2"/>
      <c r="P1000" s="2"/>
      <c r="Q1000" s="2"/>
      <c r="R1000" s="2"/>
      <c r="S1000" s="2"/>
      <c r="T1000" s="2"/>
      <c r="U1000" s="2"/>
      <c r="V1000" s="2"/>
      <c r="W1000" s="2"/>
      <c r="X1000" s="2"/>
      <c r="Y1000" s="2"/>
    </row>
  </sheetData>
  <autoFilter ref="$A$2:$J$1000"/>
  <dataValidations>
    <dataValidation type="list" allowBlank="1" showErrorMessage="1" sqref="C3:C147">
      <formula1>"Basic,Technical"</formula1>
    </dataValidation>
    <dataValidation type="list" allowBlank="1" showErrorMessage="1" sqref="H3:H146">
      <formula1>"LEGAL,TEKNIS,Markdown,Note"</formula1>
    </dataValidation>
    <dataValidation type="list" allowBlank="1" showErrorMessage="1" sqref="G3:G146">
      <formula1>"OK,Combine"</formula1>
    </dataValidation>
    <dataValidation type="list" allowBlank="1" showErrorMessage="1" sqref="F3:F146">
      <formula1>"OK,FALSE"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3" max="3" width="15.75"/>
    <col customWidth="1" min="4" max="4" width="14.25"/>
  </cols>
  <sheetData>
    <row r="1">
      <c r="A1" s="27" t="s">
        <v>327</v>
      </c>
      <c r="B1" s="28"/>
      <c r="C1" s="28"/>
      <c r="D1" s="28"/>
      <c r="E1" s="28"/>
      <c r="F1" s="28"/>
      <c r="G1" s="28"/>
      <c r="H1" s="28"/>
      <c r="I1" s="28"/>
      <c r="J1" s="28"/>
      <c r="K1" s="28"/>
      <c r="L1" s="28"/>
      <c r="M1" s="28"/>
      <c r="N1" s="28"/>
      <c r="O1" s="28"/>
      <c r="P1" s="28"/>
      <c r="Q1" s="28"/>
      <c r="R1" s="28"/>
      <c r="S1" s="28"/>
      <c r="T1" s="28"/>
      <c r="U1" s="28"/>
      <c r="V1" s="28"/>
      <c r="W1" s="28"/>
      <c r="X1" s="28"/>
      <c r="Y1" s="28"/>
      <c r="Z1" s="28"/>
    </row>
    <row r="2">
      <c r="A2" s="28"/>
      <c r="B2" s="28"/>
      <c r="C2" s="28"/>
      <c r="D2" s="28"/>
      <c r="E2" s="28"/>
      <c r="F2" s="28"/>
      <c r="G2" s="28"/>
      <c r="H2" s="28"/>
      <c r="I2" s="28"/>
      <c r="J2" s="28"/>
      <c r="K2" s="28"/>
      <c r="L2" s="28"/>
      <c r="M2" s="28"/>
      <c r="N2" s="28"/>
      <c r="O2" s="28"/>
      <c r="P2" s="28"/>
      <c r="Q2" s="28"/>
      <c r="R2" s="28"/>
      <c r="S2" s="28"/>
      <c r="T2" s="28"/>
      <c r="U2" s="28"/>
      <c r="V2" s="28"/>
      <c r="W2" s="28"/>
      <c r="X2" s="28"/>
      <c r="Y2" s="28"/>
      <c r="Z2" s="28"/>
    </row>
    <row r="3">
      <c r="A3" s="28"/>
      <c r="B3" s="28"/>
      <c r="C3" s="28"/>
      <c r="D3" s="28"/>
      <c r="E3" s="28"/>
      <c r="F3" s="28"/>
      <c r="G3" s="28"/>
      <c r="H3" s="28"/>
      <c r="I3" s="28"/>
      <c r="J3" s="28"/>
      <c r="K3" s="28"/>
      <c r="L3" s="28"/>
      <c r="M3" s="28"/>
      <c r="N3" s="28"/>
      <c r="O3" s="28"/>
      <c r="P3" s="28"/>
      <c r="Q3" s="28"/>
      <c r="R3" s="28"/>
      <c r="S3" s="28"/>
      <c r="T3" s="28"/>
      <c r="U3" s="28"/>
      <c r="V3" s="28"/>
      <c r="W3" s="28"/>
      <c r="X3" s="28"/>
      <c r="Y3" s="28"/>
      <c r="Z3" s="28"/>
    </row>
    <row r="4">
      <c r="A4" s="28"/>
      <c r="B4" s="28"/>
      <c r="C4" s="28"/>
      <c r="D4" s="28"/>
      <c r="E4" s="28"/>
      <c r="F4" s="28"/>
      <c r="G4" s="28"/>
      <c r="H4" s="28"/>
      <c r="I4" s="28"/>
      <c r="J4" s="28"/>
      <c r="K4" s="28"/>
      <c r="L4" s="28"/>
      <c r="M4" s="28"/>
      <c r="N4" s="28"/>
      <c r="O4" s="28"/>
      <c r="P4" s="28"/>
      <c r="Q4" s="28"/>
      <c r="R4" s="28"/>
      <c r="S4" s="28"/>
      <c r="T4" s="28"/>
      <c r="U4" s="28"/>
      <c r="V4" s="28"/>
      <c r="W4" s="28"/>
      <c r="X4" s="28"/>
      <c r="Y4" s="28"/>
      <c r="Z4" s="28"/>
    </row>
    <row r="5">
      <c r="A5" s="28"/>
      <c r="B5" s="28"/>
      <c r="C5" s="28"/>
      <c r="D5" s="28"/>
      <c r="E5" s="28"/>
      <c r="F5" s="28"/>
      <c r="G5" s="28"/>
      <c r="H5" s="28"/>
      <c r="I5" s="28"/>
      <c r="J5" s="28"/>
      <c r="K5" s="28"/>
      <c r="L5" s="28"/>
      <c r="M5" s="28"/>
      <c r="N5" s="28"/>
      <c r="O5" s="28"/>
      <c r="P5" s="28"/>
      <c r="Q5" s="28"/>
      <c r="R5" s="28"/>
      <c r="S5" s="28"/>
      <c r="T5" s="28"/>
      <c r="U5" s="28"/>
      <c r="V5" s="28"/>
      <c r="W5" s="28"/>
      <c r="X5" s="28"/>
      <c r="Y5" s="28"/>
      <c r="Z5" s="28"/>
    </row>
    <row r="6">
      <c r="A6" s="28"/>
      <c r="B6" s="28"/>
      <c r="C6" s="28"/>
      <c r="D6" s="28"/>
      <c r="E6" s="28"/>
      <c r="F6" s="28"/>
      <c r="G6" s="28"/>
      <c r="H6" s="28"/>
      <c r="I6" s="28"/>
      <c r="J6" s="28"/>
      <c r="K6" s="28"/>
      <c r="L6" s="28"/>
      <c r="M6" s="28"/>
      <c r="N6" s="28"/>
      <c r="O6" s="28"/>
      <c r="P6" s="28"/>
      <c r="Q6" s="28"/>
      <c r="R6" s="28"/>
      <c r="S6" s="28"/>
      <c r="T6" s="28"/>
      <c r="U6" s="28"/>
      <c r="V6" s="28"/>
      <c r="W6" s="28"/>
      <c r="X6" s="28"/>
      <c r="Y6" s="28"/>
      <c r="Z6" s="28"/>
    </row>
    <row r="7">
      <c r="A7" s="29">
        <v>29.0</v>
      </c>
      <c r="B7" s="30" t="s">
        <v>61</v>
      </c>
      <c r="C7" s="28"/>
      <c r="D7" s="28"/>
      <c r="E7" s="28"/>
      <c r="F7" s="28"/>
      <c r="G7" s="28"/>
      <c r="H7" s="28"/>
      <c r="I7" s="28"/>
      <c r="J7" s="28"/>
      <c r="K7" s="28"/>
      <c r="L7" s="28"/>
      <c r="M7" s="28"/>
      <c r="N7" s="28"/>
      <c r="O7" s="28"/>
      <c r="P7" s="28"/>
      <c r="Q7" s="28"/>
      <c r="R7" s="28"/>
      <c r="S7" s="28"/>
      <c r="T7" s="28"/>
      <c r="U7" s="28"/>
      <c r="V7" s="28"/>
      <c r="W7" s="28"/>
      <c r="X7" s="28"/>
      <c r="Y7" s="28"/>
      <c r="Z7" s="28"/>
    </row>
    <row r="8">
      <c r="A8" s="28"/>
      <c r="B8" s="27" t="s">
        <v>328</v>
      </c>
      <c r="C8" s="28"/>
      <c r="D8" s="28"/>
      <c r="E8" s="28"/>
      <c r="F8" s="28"/>
      <c r="G8" s="28"/>
      <c r="H8" s="28"/>
      <c r="I8" s="28"/>
      <c r="J8" s="28"/>
      <c r="K8" s="28"/>
      <c r="L8" s="28"/>
      <c r="M8" s="28"/>
      <c r="N8" s="28"/>
      <c r="O8" s="28"/>
      <c r="P8" s="28"/>
      <c r="Q8" s="28"/>
      <c r="R8" s="28"/>
      <c r="S8" s="28"/>
      <c r="T8" s="28"/>
      <c r="U8" s="28"/>
      <c r="V8" s="28"/>
      <c r="W8" s="28"/>
      <c r="X8" s="28"/>
      <c r="Y8" s="28"/>
      <c r="Z8" s="28"/>
    </row>
    <row r="9">
      <c r="A9" s="28"/>
      <c r="B9" s="31" t="s">
        <v>329</v>
      </c>
      <c r="C9" s="28"/>
      <c r="D9" s="28"/>
      <c r="E9" s="28"/>
      <c r="F9" s="28"/>
      <c r="G9" s="28"/>
      <c r="H9" s="28"/>
      <c r="I9" s="28"/>
      <c r="J9" s="28"/>
      <c r="K9" s="28"/>
      <c r="L9" s="28"/>
      <c r="M9" s="28"/>
      <c r="N9" s="28"/>
      <c r="O9" s="28"/>
      <c r="P9" s="28"/>
      <c r="Q9" s="28"/>
      <c r="R9" s="28"/>
      <c r="S9" s="28"/>
      <c r="T9" s="28"/>
      <c r="U9" s="28"/>
      <c r="V9" s="28"/>
      <c r="W9" s="28"/>
      <c r="X9" s="28"/>
      <c r="Y9" s="28"/>
      <c r="Z9" s="28"/>
    </row>
    <row r="10">
      <c r="A10" s="28"/>
      <c r="B10" s="27" t="s">
        <v>330</v>
      </c>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31" t="s">
        <v>331</v>
      </c>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7" t="s">
        <v>332</v>
      </c>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7" t="s">
        <v>333</v>
      </c>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7" t="s">
        <v>334</v>
      </c>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31" t="s">
        <v>335</v>
      </c>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31" t="s">
        <v>336</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31" t="s">
        <v>337</v>
      </c>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9">
        <v>30.0</v>
      </c>
      <c r="B21" s="30" t="s">
        <v>63</v>
      </c>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7" t="s">
        <v>338</v>
      </c>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7" t="s">
        <v>339</v>
      </c>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9">
        <v>42.0</v>
      </c>
      <c r="B25" s="30" t="s">
        <v>86</v>
      </c>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7" t="s">
        <v>340</v>
      </c>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7" t="s">
        <v>341</v>
      </c>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31" t="s">
        <v>342</v>
      </c>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31" t="s">
        <v>343</v>
      </c>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9">
        <v>43.0</v>
      </c>
      <c r="B38" s="30" t="s">
        <v>88</v>
      </c>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7" t="s">
        <v>344</v>
      </c>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7"/>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9">
        <v>44.0</v>
      </c>
      <c r="B47" s="30" t="s">
        <v>89</v>
      </c>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7" t="s">
        <v>344</v>
      </c>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9">
        <v>46.0</v>
      </c>
      <c r="B58" s="30" t="s">
        <v>91</v>
      </c>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7" t="s">
        <v>345</v>
      </c>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9">
        <v>51.0</v>
      </c>
      <c r="B61" s="30" t="s">
        <v>98</v>
      </c>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7" t="s">
        <v>346</v>
      </c>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7" t="s">
        <v>347</v>
      </c>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32" t="s">
        <v>348</v>
      </c>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32" t="s">
        <v>349</v>
      </c>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32" t="s">
        <v>350</v>
      </c>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9">
        <v>63.0</v>
      </c>
      <c r="B69" s="30" t="s">
        <v>119</v>
      </c>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31" t="s">
        <v>351</v>
      </c>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31" t="s">
        <v>352</v>
      </c>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31" t="s">
        <v>353</v>
      </c>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31" t="s">
        <v>354</v>
      </c>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9">
        <v>64.0</v>
      </c>
      <c r="B75" s="30" t="s">
        <v>121</v>
      </c>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7" t="s">
        <v>355</v>
      </c>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9">
        <v>68.0</v>
      </c>
      <c r="B78" s="30" t="s">
        <v>129</v>
      </c>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7" t="s">
        <v>356</v>
      </c>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33">
        <v>69.0</v>
      </c>
      <c r="B81" s="34" t="s">
        <v>357</v>
      </c>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35"/>
      <c r="B82" s="36" t="s">
        <v>358</v>
      </c>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7" t="s">
        <v>359</v>
      </c>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31" t="s">
        <v>360</v>
      </c>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31" t="s">
        <v>361</v>
      </c>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31" t="s">
        <v>362</v>
      </c>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31" t="s">
        <v>363</v>
      </c>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7" t="s">
        <v>364</v>
      </c>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33">
        <v>72.0</v>
      </c>
      <c r="B92" s="34" t="s">
        <v>139</v>
      </c>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7" t="s">
        <v>365</v>
      </c>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7" t="s">
        <v>366</v>
      </c>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33">
        <v>73.0</v>
      </c>
      <c r="B97" s="34" t="s">
        <v>142</v>
      </c>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7" t="s">
        <v>367</v>
      </c>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7"/>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7" t="s">
        <v>368</v>
      </c>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31" t="s">
        <v>369</v>
      </c>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31" t="s">
        <v>370</v>
      </c>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31" t="s">
        <v>371</v>
      </c>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31" t="s">
        <v>372</v>
      </c>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33">
        <v>74.0</v>
      </c>
      <c r="B106" s="34" t="s">
        <v>146</v>
      </c>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7" t="s">
        <v>368</v>
      </c>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31" t="s">
        <v>369</v>
      </c>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31" t="s">
        <v>370</v>
      </c>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31" t="s">
        <v>371</v>
      </c>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31" t="s">
        <v>372</v>
      </c>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7" t="s">
        <v>373</v>
      </c>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33">
        <v>75.0</v>
      </c>
      <c r="B115" s="34" t="s">
        <v>148</v>
      </c>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7" t="s">
        <v>374</v>
      </c>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7"/>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33">
        <v>76.0</v>
      </c>
      <c r="B119" s="34" t="s">
        <v>150</v>
      </c>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31" t="s">
        <v>375</v>
      </c>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31" t="s">
        <v>376</v>
      </c>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31" t="s">
        <v>377</v>
      </c>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7" t="s">
        <v>378</v>
      </c>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9">
        <v>77.0</v>
      </c>
      <c r="B126" s="30" t="s">
        <v>152</v>
      </c>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7" t="s">
        <v>379</v>
      </c>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31" t="s">
        <v>380</v>
      </c>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31" t="s">
        <v>381</v>
      </c>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7" t="s">
        <v>382</v>
      </c>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7" t="s">
        <v>383</v>
      </c>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31" t="s">
        <v>384</v>
      </c>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31" t="s">
        <v>385</v>
      </c>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7" t="s">
        <v>386</v>
      </c>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7" t="s">
        <v>387</v>
      </c>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7" t="s">
        <v>388</v>
      </c>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7" t="s">
        <v>389</v>
      </c>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31" t="s">
        <v>390</v>
      </c>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31" t="s">
        <v>391</v>
      </c>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7" t="s">
        <v>392</v>
      </c>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31" t="s">
        <v>393</v>
      </c>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31" t="s">
        <v>394</v>
      </c>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7" t="s">
        <v>395</v>
      </c>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7" t="s">
        <v>396</v>
      </c>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31" t="s">
        <v>397</v>
      </c>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31" t="s">
        <v>398</v>
      </c>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31" t="s">
        <v>399</v>
      </c>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7" t="s">
        <v>392</v>
      </c>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7" t="s">
        <v>400</v>
      </c>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31" t="s">
        <v>401</v>
      </c>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31" t="s">
        <v>402</v>
      </c>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9">
        <v>78.0</v>
      </c>
      <c r="B157" s="30" t="s">
        <v>156</v>
      </c>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7" t="s">
        <v>403</v>
      </c>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7" t="s">
        <v>404</v>
      </c>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7" t="s">
        <v>405</v>
      </c>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7" t="s">
        <v>406</v>
      </c>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7" t="s">
        <v>407</v>
      </c>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7" t="s">
        <v>408</v>
      </c>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7" t="s">
        <v>409</v>
      </c>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7" t="s">
        <v>410</v>
      </c>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9">
        <v>79.0</v>
      </c>
      <c r="B171" s="30" t="s">
        <v>160</v>
      </c>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7" t="s">
        <v>411</v>
      </c>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7" t="s">
        <v>412</v>
      </c>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7" t="s">
        <v>413</v>
      </c>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7" t="s">
        <v>414</v>
      </c>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7" t="s">
        <v>415</v>
      </c>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7" t="s">
        <v>416</v>
      </c>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7" t="s">
        <v>417</v>
      </c>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7" t="s">
        <v>418</v>
      </c>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7" t="s">
        <v>419</v>
      </c>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7" t="s">
        <v>420</v>
      </c>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7" t="s">
        <v>421</v>
      </c>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7" t="s">
        <v>422</v>
      </c>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9">
        <v>80.0</v>
      </c>
      <c r="B188" s="30" t="s">
        <v>163</v>
      </c>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7" t="s">
        <v>423</v>
      </c>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7" t="s">
        <v>424</v>
      </c>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7" t="s">
        <v>425</v>
      </c>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7" t="s">
        <v>426</v>
      </c>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7" t="s">
        <v>427</v>
      </c>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7" t="s">
        <v>428</v>
      </c>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9">
        <v>81.0</v>
      </c>
      <c r="B199" s="30" t="s">
        <v>166</v>
      </c>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37"/>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7" t="s">
        <v>429</v>
      </c>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7" t="s">
        <v>430</v>
      </c>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7" t="s">
        <v>431</v>
      </c>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38" t="s">
        <v>432</v>
      </c>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38" t="s">
        <v>433</v>
      </c>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38" t="s">
        <v>434</v>
      </c>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38" t="s">
        <v>435</v>
      </c>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38" t="s">
        <v>436</v>
      </c>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38" t="s">
        <v>437</v>
      </c>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38" t="s">
        <v>438</v>
      </c>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38" t="s">
        <v>439</v>
      </c>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38" t="s">
        <v>440</v>
      </c>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38" t="s">
        <v>441</v>
      </c>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38" t="s">
        <v>442</v>
      </c>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38" t="s">
        <v>443</v>
      </c>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38" t="s">
        <v>444</v>
      </c>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38" t="s">
        <v>445</v>
      </c>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38" t="s">
        <v>446</v>
      </c>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39"/>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38" t="s">
        <v>447</v>
      </c>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39"/>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38" t="s">
        <v>448</v>
      </c>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38" t="s">
        <v>449</v>
      </c>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38" t="s">
        <v>450</v>
      </c>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40" t="s">
        <v>451</v>
      </c>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31" t="s">
        <v>452</v>
      </c>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9">
        <v>83.0</v>
      </c>
      <c r="B231" s="30" t="s">
        <v>172</v>
      </c>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7" t="s">
        <v>453</v>
      </c>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9">
        <v>84.0</v>
      </c>
      <c r="B236" s="30" t="s">
        <v>454</v>
      </c>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41"/>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30" t="s">
        <v>455</v>
      </c>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30" t="s">
        <v>456</v>
      </c>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30" t="s">
        <v>457</v>
      </c>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30" t="s">
        <v>458</v>
      </c>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41"/>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30" t="s">
        <v>459</v>
      </c>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30" t="s">
        <v>460</v>
      </c>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30" t="s">
        <v>461</v>
      </c>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41"/>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30" t="s">
        <v>462</v>
      </c>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30" t="s">
        <v>463</v>
      </c>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41"/>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30" t="s">
        <v>464</v>
      </c>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7" t="s">
        <v>465</v>
      </c>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7" t="s">
        <v>466</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7" t="s">
        <v>467</v>
      </c>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7" t="s">
        <v>468</v>
      </c>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7" t="s">
        <v>469</v>
      </c>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7" t="s">
        <v>470</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7" t="s">
        <v>471</v>
      </c>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7"/>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7" t="s">
        <v>472</v>
      </c>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7" t="s">
        <v>473</v>
      </c>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7" t="s">
        <v>474</v>
      </c>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7" t="s">
        <v>475</v>
      </c>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7" t="s">
        <v>476</v>
      </c>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7" t="s">
        <v>477</v>
      </c>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37"/>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7" t="s">
        <v>478</v>
      </c>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7" t="s">
        <v>479</v>
      </c>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7"/>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7"/>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9">
        <v>86.0</v>
      </c>
      <c r="B273" s="30" t="s">
        <v>179</v>
      </c>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7"/>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7" t="s">
        <v>480</v>
      </c>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7"/>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7" t="s">
        <v>481</v>
      </c>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7" t="s">
        <v>482</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42" t="s">
        <v>483</v>
      </c>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42" t="s">
        <v>484</v>
      </c>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42" t="s">
        <v>485</v>
      </c>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7" t="s">
        <v>486</v>
      </c>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37"/>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37"/>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9">
        <v>87.0</v>
      </c>
      <c r="B285" s="43" t="s">
        <v>182</v>
      </c>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42" t="s">
        <v>487</v>
      </c>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7" t="s">
        <v>488</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7" t="s">
        <v>489</v>
      </c>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7" t="s">
        <v>490</v>
      </c>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7" t="s">
        <v>491</v>
      </c>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7" t="s">
        <v>492</v>
      </c>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7" t="s">
        <v>493</v>
      </c>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7" t="s">
        <v>494</v>
      </c>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7" t="s">
        <v>495</v>
      </c>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7" t="s">
        <v>496</v>
      </c>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7" t="s">
        <v>497</v>
      </c>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7" t="s">
        <v>498</v>
      </c>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44" t="s">
        <v>499</v>
      </c>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7"/>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7" t="s">
        <v>500</v>
      </c>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7" t="s">
        <v>501</v>
      </c>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7" t="s">
        <v>502</v>
      </c>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7" t="s">
        <v>503</v>
      </c>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7" t="s">
        <v>504</v>
      </c>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7" t="s">
        <v>505</v>
      </c>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7" t="s">
        <v>506</v>
      </c>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7" t="s">
        <v>507</v>
      </c>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7" t="s">
        <v>508</v>
      </c>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7" t="s">
        <v>488</v>
      </c>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7" t="s">
        <v>509</v>
      </c>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7"/>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9">
        <v>89.0</v>
      </c>
      <c r="B322" s="30" t="s">
        <v>187</v>
      </c>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7"/>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7" t="s">
        <v>510</v>
      </c>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7" t="s">
        <v>511</v>
      </c>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31" t="s">
        <v>512</v>
      </c>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31" t="s">
        <v>513</v>
      </c>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7" t="s">
        <v>514</v>
      </c>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31" t="s">
        <v>515</v>
      </c>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31" t="s">
        <v>516</v>
      </c>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7"/>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7" t="s">
        <v>517</v>
      </c>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31" t="s">
        <v>518</v>
      </c>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31" t="s">
        <v>519</v>
      </c>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7"/>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9">
        <v>90.0</v>
      </c>
      <c r="B338" s="30" t="s">
        <v>520</v>
      </c>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30" t="s">
        <v>521</v>
      </c>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30" t="s">
        <v>522</v>
      </c>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42" t="s">
        <v>523</v>
      </c>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7" t="s">
        <v>524</v>
      </c>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7"/>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7" t="s">
        <v>525</v>
      </c>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7" t="s">
        <v>526</v>
      </c>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7" t="s">
        <v>527</v>
      </c>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7" t="s">
        <v>528</v>
      </c>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7"/>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7" t="s">
        <v>529</v>
      </c>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7" t="s">
        <v>530</v>
      </c>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9">
        <v>93.0</v>
      </c>
      <c r="B355" s="30" t="s">
        <v>198</v>
      </c>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7" t="s">
        <v>531</v>
      </c>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7" t="s">
        <v>532</v>
      </c>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7" t="s">
        <v>533</v>
      </c>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7" t="s">
        <v>534</v>
      </c>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7"/>
      <c r="C362" s="27" t="s">
        <v>535</v>
      </c>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7" t="s">
        <v>536</v>
      </c>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7" t="s">
        <v>537</v>
      </c>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7"/>
      <c r="C365" s="27" t="s">
        <v>538</v>
      </c>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7" t="s">
        <v>539</v>
      </c>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7"/>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9">
        <v>97.0</v>
      </c>
      <c r="B369" s="30" t="s">
        <v>209</v>
      </c>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7" t="s">
        <v>540</v>
      </c>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7" t="s">
        <v>541</v>
      </c>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7" t="s">
        <v>542</v>
      </c>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7" t="s">
        <v>543</v>
      </c>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7" t="s">
        <v>544</v>
      </c>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7" t="s">
        <v>545</v>
      </c>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37"/>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9">
        <v>99.0</v>
      </c>
      <c r="B378" s="30" t="s">
        <v>215</v>
      </c>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45"/>
      <c r="C379" s="46" t="s">
        <v>210</v>
      </c>
      <c r="D379" s="46" t="s">
        <v>206</v>
      </c>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47" t="s">
        <v>546</v>
      </c>
      <c r="C380" s="46" t="s">
        <v>547</v>
      </c>
      <c r="D380" s="46" t="s">
        <v>548</v>
      </c>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47" t="s">
        <v>549</v>
      </c>
      <c r="C381" s="46" t="s">
        <v>547</v>
      </c>
      <c r="D381" s="46" t="s">
        <v>550</v>
      </c>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47" t="s">
        <v>551</v>
      </c>
      <c r="C382" s="46" t="s">
        <v>552</v>
      </c>
      <c r="D382" s="46" t="s">
        <v>550</v>
      </c>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47" t="s">
        <v>553</v>
      </c>
      <c r="C383" s="46" t="s">
        <v>554</v>
      </c>
      <c r="D383" s="46" t="s">
        <v>170</v>
      </c>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7" t="s">
        <v>555</v>
      </c>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9">
        <v>100.0</v>
      </c>
      <c r="B387" s="30" t="s">
        <v>218</v>
      </c>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7" t="s">
        <v>382</v>
      </c>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7" t="s">
        <v>556</v>
      </c>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31" t="s">
        <v>557</v>
      </c>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31" t="s">
        <v>558</v>
      </c>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31" t="s">
        <v>559</v>
      </c>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7" t="s">
        <v>560</v>
      </c>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31" t="s">
        <v>561</v>
      </c>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31" t="s">
        <v>562</v>
      </c>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31" t="s">
        <v>563</v>
      </c>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9">
        <v>101.0</v>
      </c>
      <c r="B400" s="30" t="s">
        <v>222</v>
      </c>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7" t="s">
        <v>564</v>
      </c>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7" t="s">
        <v>565</v>
      </c>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31" t="s">
        <v>566</v>
      </c>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7" t="s">
        <v>567</v>
      </c>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31" t="s">
        <v>568</v>
      </c>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7" t="s">
        <v>569</v>
      </c>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31" t="s">
        <v>566</v>
      </c>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7" t="s">
        <v>570</v>
      </c>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31" t="s">
        <v>571</v>
      </c>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9">
        <v>102.0</v>
      </c>
      <c r="B412" s="30" t="s">
        <v>225</v>
      </c>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7" t="s">
        <v>572</v>
      </c>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7" t="s">
        <v>573</v>
      </c>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9">
        <v>103.0</v>
      </c>
      <c r="B416" s="30" t="s">
        <v>228</v>
      </c>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7" t="s">
        <v>574</v>
      </c>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7" t="s">
        <v>575</v>
      </c>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9">
        <v>104.0</v>
      </c>
      <c r="B420" s="30" t="s">
        <v>231</v>
      </c>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7" t="s">
        <v>576</v>
      </c>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42" t="s">
        <v>577</v>
      </c>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7"/>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7" t="s">
        <v>578</v>
      </c>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31" t="s">
        <v>579</v>
      </c>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9">
        <v>105.0</v>
      </c>
      <c r="B427" s="30" t="s">
        <v>235</v>
      </c>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42" t="s">
        <v>580</v>
      </c>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42" t="s">
        <v>581</v>
      </c>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37"/>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7" t="s">
        <v>582</v>
      </c>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7" t="s">
        <v>583</v>
      </c>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7" t="s">
        <v>584</v>
      </c>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7" t="s">
        <v>585</v>
      </c>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7" t="s">
        <v>586</v>
      </c>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7" t="s">
        <v>587</v>
      </c>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7" t="s">
        <v>392</v>
      </c>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7" t="s">
        <v>588</v>
      </c>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9">
        <v>106.0</v>
      </c>
      <c r="B441" s="30" t="s">
        <v>238</v>
      </c>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7" t="s">
        <v>589</v>
      </c>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7" t="s">
        <v>590</v>
      </c>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7"/>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9">
        <v>107.0</v>
      </c>
      <c r="B445" s="30" t="s">
        <v>240</v>
      </c>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7" t="s">
        <v>591</v>
      </c>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7" t="s">
        <v>592</v>
      </c>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9">
        <v>108.0</v>
      </c>
      <c r="B449" s="30" t="s">
        <v>243</v>
      </c>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7" t="s">
        <v>593</v>
      </c>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7" t="s">
        <v>594</v>
      </c>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7" t="s">
        <v>595</v>
      </c>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7" t="s">
        <v>596</v>
      </c>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7" t="s">
        <v>597</v>
      </c>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7" t="s">
        <v>598</v>
      </c>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9">
        <v>109.0</v>
      </c>
      <c r="B460" s="30" t="s">
        <v>246</v>
      </c>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7" t="s">
        <v>599</v>
      </c>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7" t="s">
        <v>593</v>
      </c>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7" t="s">
        <v>594</v>
      </c>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7" t="s">
        <v>600</v>
      </c>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7" t="s">
        <v>601</v>
      </c>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7" t="s">
        <v>602</v>
      </c>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7" t="s">
        <v>603</v>
      </c>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9">
        <v>110.0</v>
      </c>
      <c r="B471" s="30" t="s">
        <v>248</v>
      </c>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7" t="s">
        <v>599</v>
      </c>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7" t="s">
        <v>593</v>
      </c>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7" t="s">
        <v>594</v>
      </c>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7" t="s">
        <v>604</v>
      </c>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7" t="s">
        <v>605</v>
      </c>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7" t="s">
        <v>606</v>
      </c>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7" t="s">
        <v>607</v>
      </c>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9">
        <v>111.0</v>
      </c>
      <c r="B482" s="30" t="s">
        <v>250</v>
      </c>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7" t="s">
        <v>608</v>
      </c>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7"/>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7" t="s">
        <v>594</v>
      </c>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7" t="s">
        <v>609</v>
      </c>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7" t="s">
        <v>610</v>
      </c>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7" t="s">
        <v>611</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7" t="s">
        <v>612</v>
      </c>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9">
        <v>112.0</v>
      </c>
      <c r="B493" s="30" t="s">
        <v>252</v>
      </c>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7" t="s">
        <v>613</v>
      </c>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7"/>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9">
        <v>113.0</v>
      </c>
      <c r="B496" s="30" t="s">
        <v>255</v>
      </c>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7" t="s">
        <v>593</v>
      </c>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7" t="s">
        <v>594</v>
      </c>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7" t="s">
        <v>614</v>
      </c>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7" t="s">
        <v>615</v>
      </c>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7" t="s">
        <v>602</v>
      </c>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7" t="s">
        <v>616</v>
      </c>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9">
        <v>114.0</v>
      </c>
      <c r="B507" s="30" t="s">
        <v>257</v>
      </c>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7" t="s">
        <v>593</v>
      </c>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7"/>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7" t="s">
        <v>594</v>
      </c>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7" t="s">
        <v>617</v>
      </c>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7" t="s">
        <v>618</v>
      </c>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7" t="s">
        <v>606</v>
      </c>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7" t="s">
        <v>619</v>
      </c>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9">
        <v>115.0</v>
      </c>
      <c r="B518" s="30" t="s">
        <v>259</v>
      </c>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7" t="s">
        <v>593</v>
      </c>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7"/>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7" t="s">
        <v>594</v>
      </c>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7" t="s">
        <v>620</v>
      </c>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7" t="s">
        <v>621</v>
      </c>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7" t="s">
        <v>611</v>
      </c>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7" t="s">
        <v>622</v>
      </c>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9">
        <v>116.0</v>
      </c>
      <c r="B529" s="30" t="s">
        <v>261</v>
      </c>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7" t="s">
        <v>623</v>
      </c>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7" t="s">
        <v>624</v>
      </c>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7" t="s">
        <v>625</v>
      </c>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7" t="s">
        <v>626</v>
      </c>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7" t="s">
        <v>627</v>
      </c>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7" t="s">
        <v>628</v>
      </c>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7" t="s">
        <v>629</v>
      </c>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7" t="s">
        <v>630</v>
      </c>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7" t="s">
        <v>631</v>
      </c>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7" t="s">
        <v>632</v>
      </c>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7" t="s">
        <v>633</v>
      </c>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7" t="s">
        <v>634</v>
      </c>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7" t="s">
        <v>635</v>
      </c>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9">
        <v>117.0</v>
      </c>
      <c r="B554" s="30" t="s">
        <v>264</v>
      </c>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7" t="s">
        <v>623</v>
      </c>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7" t="s">
        <v>624</v>
      </c>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7" t="s">
        <v>625</v>
      </c>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7" t="s">
        <v>626</v>
      </c>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7" t="s">
        <v>627</v>
      </c>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7" t="s">
        <v>628</v>
      </c>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7" t="s">
        <v>629</v>
      </c>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7" t="s">
        <v>630</v>
      </c>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7" t="s">
        <v>631</v>
      </c>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7" t="s">
        <v>632</v>
      </c>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7" t="s">
        <v>633</v>
      </c>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7" t="s">
        <v>634</v>
      </c>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7" t="s">
        <v>635</v>
      </c>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9">
        <v>120.0</v>
      </c>
      <c r="B577" s="30" t="s">
        <v>272</v>
      </c>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7" t="s">
        <v>636</v>
      </c>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7" t="s">
        <v>637</v>
      </c>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7" t="s">
        <v>638</v>
      </c>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31" t="s">
        <v>639</v>
      </c>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7" t="s">
        <v>640</v>
      </c>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7" t="s">
        <v>641</v>
      </c>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31" t="s">
        <v>642</v>
      </c>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31" t="s">
        <v>643</v>
      </c>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9">
        <v>121.0</v>
      </c>
      <c r="B588" s="30" t="s">
        <v>274</v>
      </c>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7" t="s">
        <v>644</v>
      </c>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7" t="s">
        <v>645</v>
      </c>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7" t="s">
        <v>638</v>
      </c>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31" t="s">
        <v>639</v>
      </c>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7" t="s">
        <v>640</v>
      </c>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7" t="s">
        <v>641</v>
      </c>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31" t="s">
        <v>642</v>
      </c>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31" t="s">
        <v>643</v>
      </c>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9">
        <v>122.0</v>
      </c>
      <c r="B599" s="30" t="s">
        <v>276</v>
      </c>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7" t="s">
        <v>644</v>
      </c>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7" t="s">
        <v>645</v>
      </c>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7" t="s">
        <v>638</v>
      </c>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31" t="s">
        <v>639</v>
      </c>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7" t="s">
        <v>640</v>
      </c>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7" t="s">
        <v>641</v>
      </c>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31" t="s">
        <v>642</v>
      </c>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31" t="s">
        <v>643</v>
      </c>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9">
        <v>123.0</v>
      </c>
      <c r="B610" s="30" t="s">
        <v>278</v>
      </c>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7" t="s">
        <v>646</v>
      </c>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7" t="s">
        <v>647</v>
      </c>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31" t="s">
        <v>648</v>
      </c>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31" t="s">
        <v>649</v>
      </c>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9">
        <v>124.0</v>
      </c>
      <c r="B616" s="30" t="s">
        <v>650</v>
      </c>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7" t="s">
        <v>651</v>
      </c>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9">
        <v>130.0</v>
      </c>
      <c r="B619" s="30" t="s">
        <v>294</v>
      </c>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7" t="s">
        <v>652</v>
      </c>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7" t="s">
        <v>653</v>
      </c>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9">
        <v>131.0</v>
      </c>
      <c r="B623" s="30" t="s">
        <v>296</v>
      </c>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7" t="s">
        <v>654</v>
      </c>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7" t="s">
        <v>655</v>
      </c>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31" t="s">
        <v>656</v>
      </c>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31" t="s">
        <v>657</v>
      </c>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7" t="s">
        <v>658</v>
      </c>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7" t="s">
        <v>659</v>
      </c>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7" t="s">
        <v>660</v>
      </c>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7" t="s">
        <v>661</v>
      </c>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31" t="s">
        <v>662</v>
      </c>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31" t="s">
        <v>663</v>
      </c>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9">
        <v>136.0</v>
      </c>
      <c r="B649" s="30" t="s">
        <v>308</v>
      </c>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7" t="s">
        <v>382</v>
      </c>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31" t="s">
        <v>664</v>
      </c>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31" t="s">
        <v>665</v>
      </c>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7" t="s">
        <v>666</v>
      </c>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7" t="s">
        <v>667</v>
      </c>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7" t="s">
        <v>392</v>
      </c>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7" t="s">
        <v>668</v>
      </c>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7" t="s">
        <v>669</v>
      </c>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7" t="s">
        <v>670</v>
      </c>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7"/>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9">
        <v>139.0</v>
      </c>
      <c r="B660" s="30" t="s">
        <v>313</v>
      </c>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7" t="s">
        <v>671</v>
      </c>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7" t="s">
        <v>672</v>
      </c>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7" t="s">
        <v>673</v>
      </c>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7" t="s">
        <v>674</v>
      </c>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7" t="s">
        <v>675</v>
      </c>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7" t="s">
        <v>666</v>
      </c>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7" t="s">
        <v>676</v>
      </c>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7" t="s">
        <v>677</v>
      </c>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7" t="s">
        <v>678</v>
      </c>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sheetData>
  <drawing r:id="rId1"/>
</worksheet>
</file>